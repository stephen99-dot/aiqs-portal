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tings" sheetId="2" state="visible" r:id="rId4"/>
    <sheet name="Rates" sheetId="3" state="visible" r:id="rId5"/>
    <sheet name="Materials" sheetId="4" state="visible" r:id="rId6"/>
    <sheet name="Labour" sheetId="5" state="visible" r:id="rId7"/>
    <sheet name="Gangs" sheetId="6" state="visible" r:id="rId8"/>
    <sheet name="Plant" sheetId="7" state="visible" r:id="rId9"/>
    <sheet name="Regions" sheetId="8" state="visible" r:id="rId10"/>
    <sheet name="Elemental" sheetId="9" state="visible" r:id="rId11"/>
    <sheet name="Escalation" sheetId="10" state="visible" r:id="rId12"/>
    <sheet name="Calibration" sheetId="11" state="visible" r:id="rId13"/>
    <sheet name="Sour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<sst xmlns="http://schemas.openxmlformats.org/spreadsheetml/2006/main" count="3086" uniqueCount="1418">
  <si>
    <t xml:space="preserve">THE SOUTH AFRICA RATES LIBRARY — MASTER SHEET</t>
  </si>
  <si>
    <t xml:space="preserve">Library ref SA-RL-2609-01  |  Base date September 2026  |  Base region Gauteng  |  Currency ZAR</t>
  </si>
  <si>
    <t xml:space="preserve">WHAT THE RATES ARE</t>
  </si>
  <si>
    <t xml:space="preserve">Every unit rate on the Rates sheet is a NET cost build-up: labour (gang-hours x all-in gang rate) + materials (quantity incl. waste x delivered price) + sundries + plant.</t>
  </si>
  <si>
    <t xml:space="preserve">Net rates EXCLUDE contractor margin and EXCLUDE VAT. Column T applies the region factor and escalation; column U adds the margin on the Settings sheet (17%).</t>
  </si>
  <si>
    <t xml:space="preserve">VAT (15%) is added once, at the foot of the BOQ, not in the rates.</t>
  </si>
  <si>
    <t xml:space="preserve">HOW TO USE ON A JOB</t>
  </si>
  <si>
    <t xml:space="preserve">1. Settings: pick the region from the drop-down and enter the tender / start date. Region factor and escalation flow into every rate.</t>
  </si>
  <si>
    <t xml:space="preserve">2. Price the BOQ from Rates column U (sell, ex VAT) or column T (net) if the margin is applied at summary level.</t>
  </si>
  <si>
    <t xml:space="preserve">3. Sanity-check the total against the Elemental sheet (AECOM R/m2 benchmarks, escalated).</t>
  </si>
  <si>
    <t xml:space="preserve">4. Where the contractor supplies invoices or their own rates, overwrite the blue input cells on Materials / Labour / Plant — every rate re-builds automatically.</t>
  </si>
  <si>
    <t xml:space="preserve">COLOUR KEY</t>
  </si>
  <si>
    <t xml:space="preserve">Blue text = hard-coded input (price, productivity, quantity).  Black = formula.  Green = link to another sheet.  Yellow fill = key assumption to set per job.</t>
  </si>
  <si>
    <t xml:space="preserve">Basis column on resource sheets: PUBLISHED = gazetted / bargaining council / AECOM figure.  MARKET = 2026 SA market benchmark.  QS ESTIMATE = AI QS judgement pending invoice data.</t>
  </si>
  <si>
    <t xml:space="preserve">MEASUREMENT &amp; STANDARDS</t>
  </si>
  <si>
    <t xml:space="preserve">Descriptions follow the ASAQS Standard System of Measuring Building Work trade order. Specifications assume SANS 10400 (incl. Part XA energy — ceiling insulation, Part N glazing safety) and SANS 2001 workmanship.</t>
  </si>
  <si>
    <t xml:space="preserve">Labour on-costs cover UIF, SDL, COIDA, leave, public holidays, bonus, non-productive time, travel, PPE and small tools (see Settings).</t>
  </si>
  <si>
    <t xml:space="preserve">LIMITATIONS</t>
  </si>
  <si>
    <t xml:space="preserve">Material prices are Gauteng delivered, ex VAT, for small-to-medium builder volumes. Remote sites carry extra transport — use the rural region factors or add a haulage item.</t>
  </si>
  <si>
    <t xml:space="preserve">Items marked 'installed' in Materials are specialist supply-and-fix prices (subcontract), so they carry no separate labour.</t>
  </si>
  <si>
    <t xml:space="preserve">Replace QS ESTIMATE lines with real contractor invoice prices as SA jobs come in — the library is built to be tightened that way.</t>
  </si>
  <si>
    <t xml:space="preserve">SETTINGS — set per job</t>
  </si>
  <si>
    <t xml:space="preserve">Region (select)</t>
  </si>
  <si>
    <t xml:space="preserve">Gauteng (Johannesburg / Pretoria / Midrand) - BASE</t>
  </si>
  <si>
    <t xml:space="preserve">Drop-down. Drives the region factor.</t>
  </si>
  <si>
    <t xml:space="preserve">Region factor</t>
  </si>
  <si>
    <t xml:space="preserve">Looked up from Regions sheet.</t>
  </si>
  <si>
    <t xml:space="preserve">Library base date</t>
  </si>
  <si>
    <t xml:space="preserve">Resource prices current at this date.</t>
  </si>
  <si>
    <t xml:space="preserve">Tender / start date</t>
  </si>
  <si>
    <t xml:space="preserve">Enter the job's expected tender or start date.</t>
  </si>
  <si>
    <t xml:space="preserve">Forward escalation p.a.</t>
  </si>
  <si>
    <t xml:space="preserve">BER tender-price forecast 2027 +4.7% (AECOM Cost Guide 2025/26, Section 7).</t>
  </si>
  <si>
    <t xml:space="preserve">Months forward</t>
  </si>
  <si>
    <t xml:space="preserve">Formula.</t>
  </si>
  <si>
    <t xml:space="preserve">Escalation factor</t>
  </si>
  <si>
    <t xml:space="preserve">Compounded from base date to tender date.</t>
  </si>
  <si>
    <t xml:space="preserve">Contractor margin (profit)</t>
  </si>
  <si>
    <t xml:space="preserve">AI QS standing rule: 17% on all jobs.</t>
  </si>
  <si>
    <t xml:space="preserve">VAT</t>
  </si>
  <si>
    <t xml:space="preserve">SA VAT 15% — apply at BOQ foot only.</t>
  </si>
  <si>
    <t xml:space="preserve">LABOUR ON-COSTS (on basic wage)</t>
  </si>
  <si>
    <t xml:space="preserve">Statutory (UIF 1%, SDL 1%, COIDA ~2.5%)</t>
  </si>
  <si>
    <t xml:space="preserve">Unemployment Insurance Act, Skills Development Levies Act, COIDA building class estimate.</t>
  </si>
  <si>
    <t xml:space="preserve">Leave, public holidays, sick leave, bonus</t>
  </si>
  <si>
    <t xml:space="preserve">BCEA entitlements + bargaining council bonus fund equivalent.</t>
  </si>
  <si>
    <t xml:space="preserve">Non-productive time, travel, PPE, small tools</t>
  </si>
  <si>
    <t xml:space="preserve">QS estimate.</t>
  </si>
  <si>
    <t xml:space="preserve">TOTAL ON-COST</t>
  </si>
  <si>
    <t xml:space="preserve">Formula — used by Labour sheet.</t>
  </si>
  <si>
    <t xml:space="preserve">SOUTH AFRICA UNIT RATES — SA-RL-2609-01</t>
  </si>
  <si>
    <t xml:space="preserve">Code</t>
  </si>
  <si>
    <t xml:space="preserve">Description</t>
  </si>
  <si>
    <t xml:space="preserve">Unit</t>
  </si>
  <si>
    <t xml:space="preserve">Gang</t>
  </si>
  <si>
    <t xml:space="preserve">Gang-hrs / unit</t>
  </si>
  <si>
    <t xml:space="preserve">Labour R</t>
  </si>
  <si>
    <t xml:space="preserve">Mat 1</t>
  </si>
  <si>
    <t xml:space="preserve">Qty 1</t>
  </si>
  <si>
    <t xml:space="preserve">Mat 2</t>
  </si>
  <si>
    <t xml:space="preserve">Qty 2</t>
  </si>
  <si>
    <t xml:space="preserve">Mat 3</t>
  </si>
  <si>
    <t xml:space="preserve">Qty 3</t>
  </si>
  <si>
    <t xml:space="preserve">Materials R</t>
  </si>
  <si>
    <t xml:space="preserve">Sundries R</t>
  </si>
  <si>
    <t xml:space="preserve">Plant</t>
  </si>
  <si>
    <t xml:space="preserve">Plant qty</t>
  </si>
  <si>
    <t xml:space="preserve">Plant R</t>
  </si>
  <si>
    <t xml:space="preserve">NET rate R (Gauteng base)</t>
  </si>
  <si>
    <t xml:space="preserve">NET rate R (region + escalation)</t>
  </si>
  <si>
    <t xml:space="preserve">SELL rate R incl margin, ex VAT</t>
  </si>
  <si>
    <t xml:space="preserve">PRELIMINARIES &amp; GENERAL</t>
  </si>
  <si>
    <t xml:space="preserve">PR01</t>
  </si>
  <si>
    <t xml:space="preserve">Site establishment &amp; de-establishment, small works (hoarding, signage, set-up)</t>
  </si>
  <si>
    <t xml:space="preserve">item</t>
  </si>
  <si>
    <t xml:space="preserve">G-LAB</t>
  </si>
  <si>
    <t xml:space="preserve">PR02</t>
  </si>
  <si>
    <t xml:space="preserve">Site foreman, full time</t>
  </si>
  <si>
    <t xml:space="preserve">week</t>
  </si>
  <si>
    <t xml:space="preserve">G-FMN</t>
  </si>
  <si>
    <t xml:space="preserve">PR03</t>
  </si>
  <si>
    <t xml:space="preserve">Site agent, one day per week</t>
  </si>
  <si>
    <t xml:space="preserve">G-SA</t>
  </si>
  <si>
    <t xml:space="preserve">PR04</t>
  </si>
  <si>
    <t xml:space="preserve">Chemical toilet incl servicing</t>
  </si>
  <si>
    <t xml:space="preserve">P-TOILET</t>
  </si>
  <si>
    <t xml:space="preserve">PR05</t>
  </si>
  <si>
    <t xml:space="preserve">Site office / store container</t>
  </si>
  <si>
    <t xml:space="preserve">P-CONT</t>
  </si>
  <si>
    <t xml:space="preserve">PR06</t>
  </si>
  <si>
    <t xml:space="preserve">Temporary water &amp; electricity (consumption)</t>
  </si>
  <si>
    <t xml:space="preserve">PR07</t>
  </si>
  <si>
    <t xml:space="preserve">Security guard, 12 h shift (Cape BIBC R495.34/day + on-costs)</t>
  </si>
  <si>
    <t xml:space="preserve">day</t>
  </si>
  <si>
    <t xml:space="preserve">PR08</t>
  </si>
  <si>
    <t xml:space="preserve">Skip 6 m3 incl removal</t>
  </si>
  <si>
    <t xml:space="preserve">no</t>
  </si>
  <si>
    <t xml:space="preserve">P-SKIP</t>
  </si>
  <si>
    <t xml:space="preserve">PR09</t>
  </si>
  <si>
    <t xml:space="preserve">Health &amp; Safety file, plan &amp; baseline risk assessment (Construction Regs 2014)</t>
  </si>
  <si>
    <t xml:space="preserve">PR10</t>
  </si>
  <si>
    <t xml:space="preserve">Electrical Certificate of Compliance (COC)</t>
  </si>
  <si>
    <t xml:space="preserve">PR11</t>
  </si>
  <si>
    <t xml:space="preserve">Plumbing Certificate of Compliance (PIRB)</t>
  </si>
  <si>
    <t xml:space="preserve">PR12</t>
  </si>
  <si>
    <t xml:space="preserve">Setting out by land surveyor, small building</t>
  </si>
  <si>
    <t xml:space="preserve">PR13</t>
  </si>
  <si>
    <t xml:space="preserve">Builder's clean on completion</t>
  </si>
  <si>
    <t xml:space="preserve">m2</t>
  </si>
  <si>
    <t xml:space="preserve">PR14</t>
  </si>
  <si>
    <t xml:space="preserve">Frame scaffold hire</t>
  </si>
  <si>
    <t xml:space="preserve">m2/wk</t>
  </si>
  <si>
    <t xml:space="preserve">P-SCAF</t>
  </si>
  <si>
    <t xml:space="preserve">PR15</t>
  </si>
  <si>
    <t xml:space="preserve">Scaffold erect &amp; dismantle</t>
  </si>
  <si>
    <t xml:space="preserve">PR16</t>
  </si>
  <si>
    <t xml:space="preserve">Temporary site fencing hire</t>
  </si>
  <si>
    <t xml:space="preserve">m/wk</t>
  </si>
  <si>
    <t xml:space="preserve">P-FENCE</t>
  </si>
  <si>
    <t xml:space="preserve">PR17</t>
  </si>
  <si>
    <t xml:space="preserve">Temporary protection to finished floors</t>
  </si>
  <si>
    <t xml:space="preserve">DEMOLITIONS &amp; ALTERATIONS</t>
  </si>
  <si>
    <t xml:space="preserve">DM01</t>
  </si>
  <si>
    <t xml:space="preserve">Demolish half-brick wall incl plaster, stack rubble on site</t>
  </si>
  <si>
    <t xml:space="preserve">G-DEM</t>
  </si>
  <si>
    <t xml:space="preserve">DM02</t>
  </si>
  <si>
    <t xml:space="preserve">Demolish one-brick wall incl plaster</t>
  </si>
  <si>
    <t xml:space="preserve">DM03</t>
  </si>
  <si>
    <t xml:space="preserve">Break up concrete surface bed &lt;= 100 mm</t>
  </si>
  <si>
    <t xml:space="preserve">P-JACK</t>
  </si>
  <si>
    <t xml:space="preserve">DM04</t>
  </si>
  <si>
    <t xml:space="preserve">Break up reinforced concrete</t>
  </si>
  <si>
    <t xml:space="preserve">m3</t>
  </si>
  <si>
    <t xml:space="preserve">DM05</t>
  </si>
  <si>
    <t xml:space="preserve">Strip concrete / clay roof tiles &amp; battens</t>
  </si>
  <si>
    <t xml:space="preserve">DM06</t>
  </si>
  <si>
    <t xml:space="preserve">Strip metal roof sheeting</t>
  </si>
  <si>
    <t xml:space="preserve">DM07</t>
  </si>
  <si>
    <t xml:space="preserve">Remove roof timbers / trusses</t>
  </si>
  <si>
    <t xml:space="preserve">DM08</t>
  </si>
  <si>
    <t xml:space="preserve">Remove ceiling incl brandering &amp; cornice</t>
  </si>
  <si>
    <t xml:space="preserve">DM09</t>
  </si>
  <si>
    <t xml:space="preserve">Hack off wall plaster</t>
  </si>
  <si>
    <t xml:space="preserve">DM10</t>
  </si>
  <si>
    <t xml:space="preserve">Remove floor tiles incl screed</t>
  </si>
  <si>
    <t xml:space="preserve">DM11</t>
  </si>
  <si>
    <t xml:space="preserve">Remove door &amp; frame, make good</t>
  </si>
  <si>
    <t xml:space="preserve">DM12</t>
  </si>
  <si>
    <t xml:space="preserve">Remove window &amp; frame, make good</t>
  </si>
  <si>
    <t xml:space="preserve">DM13</t>
  </si>
  <si>
    <t xml:space="preserve">Disconnect &amp; remove sanitary fitting, cap services</t>
  </si>
  <si>
    <t xml:space="preserve">G-PLB</t>
  </si>
  <si>
    <t xml:space="preserve">DM14</t>
  </si>
  <si>
    <t xml:space="preserve">Form opening &lt;= 1.0 m wide in one-brick wall incl precast lintels, make good</t>
  </si>
  <si>
    <t xml:space="preserve">G-BRK</t>
  </si>
  <si>
    <t xml:space="preserve">LINT</t>
  </si>
  <si>
    <t xml:space="preserve">MORT</t>
  </si>
  <si>
    <t xml:space="preserve">DM15</t>
  </si>
  <si>
    <t xml:space="preserve">Form opening &lt;= 1.0 m wide in half-brick wall incl lintel, make good</t>
  </si>
  <si>
    <t xml:space="preserve">DM16</t>
  </si>
  <si>
    <t xml:space="preserve">Needle &amp; prop loadbearing wall for new opening (props hire allowance)</t>
  </si>
  <si>
    <t xml:space="preserve">DM17</t>
  </si>
  <si>
    <t xml:space="preserve">Load &amp; cart rubble to licensed tip incl tip fees</t>
  </si>
  <si>
    <t xml:space="preserve">P-CARTRUB</t>
  </si>
  <si>
    <t xml:space="preserve">EARTHWORKS</t>
  </si>
  <si>
    <t xml:space="preserve">EW01</t>
  </si>
  <si>
    <t xml:space="preserve">Clear site &amp; remove topsoil 150 mm</t>
  </si>
  <si>
    <t xml:space="preserve">P-TLB</t>
  </si>
  <si>
    <t xml:space="preserve">EW02</t>
  </si>
  <si>
    <t xml:space="preserve">Excavate trenches &lt;= 1.5 m deep by machine, soft material</t>
  </si>
  <si>
    <t xml:space="preserve">EW03</t>
  </si>
  <si>
    <t xml:space="preserve">Excavate trenches &lt;= 1.5 m deep by hand, soft material</t>
  </si>
  <si>
    <t xml:space="preserve">EW04</t>
  </si>
  <si>
    <t xml:space="preserve">Extra over for intermediate excavation</t>
  </si>
  <si>
    <t xml:space="preserve">EW05</t>
  </si>
  <si>
    <t xml:space="preserve">Extra over for hard rock excavation (breaker)</t>
  </si>
  <si>
    <t xml:space="preserve">EW06</t>
  </si>
  <si>
    <t xml:space="preserve">Bulk excavation by machine &lt;= 2 m deep</t>
  </si>
  <si>
    <t xml:space="preserve">P-EXC20</t>
  </si>
  <si>
    <t xml:space="preserve">EW07</t>
  </si>
  <si>
    <t xml:space="preserve">Excavate bases / pits by machine</t>
  </si>
  <si>
    <t xml:space="preserve">EW08</t>
  </si>
  <si>
    <t xml:space="preserve">Earthwork support to trench sides &lt;= 1.5 m</t>
  </si>
  <si>
    <t xml:space="preserve">EW09</t>
  </si>
  <si>
    <t xml:space="preserve">Keep excavations free of water</t>
  </si>
  <si>
    <t xml:space="preserve">P-PUMP</t>
  </si>
  <si>
    <t xml:space="preserve">EW10</t>
  </si>
  <si>
    <t xml:space="preserve">Backfill with excavated material, compacted in 150 mm layers</t>
  </si>
  <si>
    <t xml:space="preserve">P-PLATE</t>
  </si>
  <si>
    <t xml:space="preserve">EW11</t>
  </si>
  <si>
    <t xml:space="preserve">Imported G5 fill under floors, compacted to 93% MOD AASHTO</t>
  </si>
  <si>
    <t xml:space="preserve">G5</t>
  </si>
  <si>
    <t xml:space="preserve">EW12</t>
  </si>
  <si>
    <t xml:space="preserve">Load &amp; cart surplus excavated material &lt;= 10 km</t>
  </si>
  <si>
    <t xml:space="preserve">P-CARTSOIL</t>
  </si>
  <si>
    <t xml:space="preserve">EW13</t>
  </si>
  <si>
    <t xml:space="preserve">Soil poisoning (termite treatment) by registered PCO</t>
  </si>
  <si>
    <t xml:space="preserve">EW14</t>
  </si>
  <si>
    <t xml:space="preserve">Compact bottoms of excavations</t>
  </si>
  <si>
    <t xml:space="preserve">EW15</t>
  </si>
  <si>
    <t xml:space="preserve">Level &amp; compact ground under surface beds</t>
  </si>
  <si>
    <t xml:space="preserve">EW16</t>
  </si>
  <si>
    <t xml:space="preserve">Spread &amp; level topsoil 150 mm</t>
  </si>
  <si>
    <t xml:space="preserve">CONCRETE, FORMWORK &amp; REINFORCEMENT</t>
  </si>
  <si>
    <t xml:space="preserve">CN01</t>
  </si>
  <si>
    <t xml:space="preserve">Blinding 15 MPa, 50 mm under footings</t>
  </si>
  <si>
    <t xml:space="preserve">G-CON</t>
  </si>
  <si>
    <t xml:space="preserve">RM15</t>
  </si>
  <si>
    <t xml:space="preserve">CN02</t>
  </si>
  <si>
    <t xml:space="preserve">Readymix 25 MPa in strip footings</t>
  </si>
  <si>
    <t xml:space="preserve">RM25</t>
  </si>
  <si>
    <t xml:space="preserve">P-POKER</t>
  </si>
  <si>
    <t xml:space="preserve">CN03</t>
  </si>
  <si>
    <t xml:space="preserve">Readymix 25 MPa in pad / column bases</t>
  </si>
  <si>
    <t xml:space="preserve">CN04</t>
  </si>
  <si>
    <t xml:space="preserve">Readymix 25 MPa in surface beds &lt;= 150 mm</t>
  </si>
  <si>
    <t xml:space="preserve">CN05</t>
  </si>
  <si>
    <t xml:space="preserve">Readymix 25 MPa in ground beams</t>
  </si>
  <si>
    <t xml:space="preserve">CN06</t>
  </si>
  <si>
    <t xml:space="preserve">Readymix 30 MPa in suspended slabs, pumped</t>
  </si>
  <si>
    <t xml:space="preserve">RM30</t>
  </si>
  <si>
    <t xml:space="preserve">P-CPUMP</t>
  </si>
  <si>
    <t xml:space="preserve">CN07</t>
  </si>
  <si>
    <t xml:space="preserve">Readymix 30 MPa in beams, pumped</t>
  </si>
  <si>
    <t xml:space="preserve">CN08</t>
  </si>
  <si>
    <t xml:space="preserve">Readymix 30 MPa in columns, pumped</t>
  </si>
  <si>
    <t xml:space="preserve">CN09</t>
  </si>
  <si>
    <t xml:space="preserve">Site-mixed 25 MPa in footings (no readymix access)</t>
  </si>
  <si>
    <t xml:space="preserve">CSITE</t>
  </si>
  <si>
    <t xml:space="preserve">P-MIXER</t>
  </si>
  <si>
    <t xml:space="preserve">CN10</t>
  </si>
  <si>
    <t xml:space="preserve">Site-mixed 25 MPa in surface beds</t>
  </si>
  <si>
    <t xml:space="preserve">CN11</t>
  </si>
  <si>
    <t xml:space="preserve">Surface bed 100 mm 25 MPa readymix incl wood-float finish</t>
  </si>
  <si>
    <t xml:space="preserve">CN12</t>
  </si>
  <si>
    <t xml:space="preserve">Steel-trowel finish to concrete</t>
  </si>
  <si>
    <t xml:space="preserve">G-SCR</t>
  </si>
  <si>
    <t xml:space="preserve">CN13</t>
  </si>
  <si>
    <t xml:space="preserve">Power-float finish to concrete</t>
  </si>
  <si>
    <t xml:space="preserve">P-FLOAT</t>
  </si>
  <si>
    <t xml:space="preserve">CN14</t>
  </si>
  <si>
    <t xml:space="preserve">250 micron DPM under surface beds, lapped &amp; taped</t>
  </si>
  <si>
    <t xml:space="preserve">DPM250</t>
  </si>
  <si>
    <t xml:space="preserve">CN15</t>
  </si>
  <si>
    <t xml:space="preserve">Rough formwork to sides of footings / bases</t>
  </si>
  <si>
    <t xml:space="preserve">G-SHT</t>
  </si>
  <si>
    <t xml:space="preserve">FWMAT</t>
  </si>
  <si>
    <t xml:space="preserve">CN16</t>
  </si>
  <si>
    <t xml:space="preserve">Smooth formwork to sides &amp; soffits of beams</t>
  </si>
  <si>
    <t xml:space="preserve">CN17</t>
  </si>
  <si>
    <t xml:space="preserve">Formwork to soffits of suspended slabs &lt;= 3.5 m props incl props</t>
  </si>
  <si>
    <t xml:space="preserve">P-PROPS</t>
  </si>
  <si>
    <t xml:space="preserve">CN18</t>
  </si>
  <si>
    <t xml:space="preserve">Formwork to columns</t>
  </si>
  <si>
    <t xml:space="preserve">CN19</t>
  </si>
  <si>
    <t xml:space="preserve">Formwork to edges of slabs &lt;= 300 mm</t>
  </si>
  <si>
    <t xml:space="preserve">m</t>
  </si>
  <si>
    <t xml:space="preserve">CN20</t>
  </si>
  <si>
    <t xml:space="preserve">High-yield reinforcement Y10-Y16, cut, bent &amp; fixed</t>
  </si>
  <si>
    <t xml:space="preserve">t</t>
  </si>
  <si>
    <t xml:space="preserve">G-STF</t>
  </si>
  <si>
    <t xml:space="preserve">REBAR</t>
  </si>
  <si>
    <t xml:space="preserve">TIEW</t>
  </si>
  <si>
    <t xml:space="preserve">CN21</t>
  </si>
  <si>
    <t xml:space="preserve">High-yield reinforcement Y20-Y32, cut, bent &amp; fixed</t>
  </si>
  <si>
    <t xml:space="preserve">CN22</t>
  </si>
  <si>
    <t xml:space="preserve">Mild steel reinforcement &lt;= R10, cut, bent &amp; fixed</t>
  </si>
  <si>
    <t xml:space="preserve">REBARMS</t>
  </si>
  <si>
    <t xml:space="preserve">CN23</t>
  </si>
  <si>
    <t xml:space="preserve">Fabric reinforcement Ref 193 incl laps &amp; spacers</t>
  </si>
  <si>
    <t xml:space="preserve">MESH193</t>
  </si>
  <si>
    <t xml:space="preserve">CN24</t>
  </si>
  <si>
    <t xml:space="preserve">Fabric reinforcement Ref 245 incl laps &amp; spacers</t>
  </si>
  <si>
    <t xml:space="preserve">MESH245</t>
  </si>
  <si>
    <t xml:space="preserve">CN25</t>
  </si>
  <si>
    <t xml:space="preserve">Fabric reinforcement Ref 100 incl laps &amp; spacers</t>
  </si>
  <si>
    <t xml:space="preserve">MESH100</t>
  </si>
  <si>
    <t xml:space="preserve">CN26</t>
  </si>
  <si>
    <t xml:space="preserve">Construction / isolation joint incl filler &amp; sealant</t>
  </si>
  <si>
    <t xml:space="preserve">JSEAL</t>
  </si>
  <si>
    <t xml:space="preserve">CN27</t>
  </si>
  <si>
    <t xml:space="preserve">Saw-cut contraction joint &amp; seal</t>
  </si>
  <si>
    <t xml:space="preserve">P-SAW</t>
  </si>
  <si>
    <t xml:space="preserve">CN28</t>
  </si>
  <si>
    <t xml:space="preserve">Precast prestressed lintel 110 mm, bedded</t>
  </si>
  <si>
    <t xml:space="preserve">CN29</t>
  </si>
  <si>
    <t xml:space="preserve">Rib-and-block suspended slab 250 mm incl 50 mm 30 MPa topping &amp; mesh (props hire incl)</t>
  </si>
  <si>
    <t xml:space="preserve">RIBBLK</t>
  </si>
  <si>
    <t xml:space="preserve">MASONRY</t>
  </si>
  <si>
    <t xml:space="preserve">MS01</t>
  </si>
  <si>
    <t xml:space="preserve">Half-brick wall, clay stock NFP, Class II mortar, brickforce every 4th course</t>
  </si>
  <si>
    <t xml:space="preserve">BRKCLAY</t>
  </si>
  <si>
    <t xml:space="preserve">BFORCE</t>
  </si>
  <si>
    <t xml:space="preserve">MS02</t>
  </si>
  <si>
    <t xml:space="preserve">One-brick wall, clay stock NFP</t>
  </si>
  <si>
    <t xml:space="preserve">MS03</t>
  </si>
  <si>
    <t xml:space="preserve">Half-brick wall, cement stock brick</t>
  </si>
  <si>
    <t xml:space="preserve">BRKCEM</t>
  </si>
  <si>
    <t xml:space="preserve">MS04</t>
  </si>
  <si>
    <t xml:space="preserve">One-brick wall, cement stock brick</t>
  </si>
  <si>
    <t xml:space="preserve">MS05</t>
  </si>
  <si>
    <t xml:space="preserve">280 mm cavity wall, 2 x half-brick clay stock incl ties (4/m2)</t>
  </si>
  <si>
    <t xml:space="preserve">TIES</t>
  </si>
  <si>
    <t xml:space="preserve">MS06</t>
  </si>
  <si>
    <t xml:space="preserve">140 mm cement block wall</t>
  </si>
  <si>
    <t xml:space="preserve">BLK140</t>
  </si>
  <si>
    <t xml:space="preserve">MS07</t>
  </si>
  <si>
    <t xml:space="preserve">190 mm cement block wall</t>
  </si>
  <si>
    <t xml:space="preserve">BLK190</t>
  </si>
  <si>
    <t xml:space="preserve">MS08</t>
  </si>
  <si>
    <t xml:space="preserve">90 mm cement block partition</t>
  </si>
  <si>
    <t xml:space="preserve">BLK90</t>
  </si>
  <si>
    <t xml:space="preserve">MS09</t>
  </si>
  <si>
    <t xml:space="preserve">Half-brick face brick wall, pointed one side</t>
  </si>
  <si>
    <t xml:space="preserve">G-BRKF</t>
  </si>
  <si>
    <t xml:space="preserve">FACEBRK</t>
  </si>
  <si>
    <t xml:space="preserve">MS10</t>
  </si>
  <si>
    <t xml:space="preserve">One-brick wall, face one side / stock other</t>
  </si>
  <si>
    <t xml:space="preserve">MS11</t>
  </si>
  <si>
    <t xml:space="preserve">280 mm cavity wall, face brick outer / stock inner incl ties</t>
  </si>
  <si>
    <t xml:space="preserve">MS12</t>
  </si>
  <si>
    <t xml:space="preserve">One-brick wall in foundations, cement stock, Class I mortar</t>
  </si>
  <si>
    <t xml:space="preserve">MS13</t>
  </si>
  <si>
    <t xml:space="preserve">Brickforce, extra</t>
  </si>
  <si>
    <t xml:space="preserve">MS14</t>
  </si>
  <si>
    <t xml:space="preserve">DPC 375 mm under walls</t>
  </si>
  <si>
    <t xml:space="preserve">DPC375</t>
  </si>
  <si>
    <t xml:space="preserve">MS15</t>
  </si>
  <si>
    <t xml:space="preserve">DPC 230 mm under walls / sills</t>
  </si>
  <si>
    <t xml:space="preserve">DPC230</t>
  </si>
  <si>
    <t xml:space="preserve">MS16</t>
  </si>
  <si>
    <t xml:space="preserve">Face brick-on-edge sill</t>
  </si>
  <si>
    <t xml:space="preserve">MS17</t>
  </si>
  <si>
    <t xml:space="preserve">Rake out &amp; repoint face brickwork</t>
  </si>
  <si>
    <t xml:space="preserve">MS18</t>
  </si>
  <si>
    <t xml:space="preserve">Hoop-iron roof anchor built in (1.5 m)</t>
  </si>
  <si>
    <t xml:space="preserve">HOOP</t>
  </si>
  <si>
    <t xml:space="preserve">MS19</t>
  </si>
  <si>
    <t xml:space="preserve">Precast concrete panel boundary wall 1.8 m — installed</t>
  </si>
  <si>
    <t xml:space="preserve">PRECWALL</t>
  </si>
  <si>
    <t xml:space="preserve">WATERPROOFING</t>
  </si>
  <si>
    <t xml:space="preserve">WP01</t>
  </si>
  <si>
    <t xml:space="preserve">4 mm APP torch-on membrane on flat roof incl primer</t>
  </si>
  <si>
    <t xml:space="preserve">G-WPF</t>
  </si>
  <si>
    <t xml:space="preserve">TORCH</t>
  </si>
  <si>
    <t xml:space="preserve">BPRIMER</t>
  </si>
  <si>
    <t xml:space="preserve">WP02</t>
  </si>
  <si>
    <t xml:space="preserve">Two-layer torch-on membrane incl primer</t>
  </si>
  <si>
    <t xml:space="preserve">WP03</t>
  </si>
  <si>
    <t xml:space="preserve">Liquid acrylic waterproofing with membrane, 3 coats</t>
  </si>
  <si>
    <t xml:space="preserve">LIQWP</t>
  </si>
  <si>
    <t xml:space="preserve">WP04</t>
  </si>
  <si>
    <t xml:space="preserve">Cementitious waterproofing to wet-area floors &amp; walls</t>
  </si>
  <si>
    <t xml:space="preserve">CEMWP</t>
  </si>
  <si>
    <t xml:space="preserve">WP05</t>
  </si>
  <si>
    <t xml:space="preserve">Aluminium reflective coat on torch-on</t>
  </si>
  <si>
    <t xml:space="preserve">ALUPAINT</t>
  </si>
  <si>
    <t xml:space="preserve">WP06</t>
  </si>
  <si>
    <t xml:space="preserve">Torch-on flashing / upstand 300 mm girth</t>
  </si>
  <si>
    <t xml:space="preserve">WP07</t>
  </si>
  <si>
    <t xml:space="preserve">Tanking to basement / retaining wall, torch-on incl primer</t>
  </si>
  <si>
    <t xml:space="preserve">ROOF STRUCTURE &amp; COVERINGS</t>
  </si>
  <si>
    <t xml:space="preserve">RF01</t>
  </si>
  <si>
    <t xml:space="preserve">Engineered timber trusses, supply &amp; erect incl bracing &amp; clips (per m2 plan area)</t>
  </si>
  <si>
    <t xml:space="preserve">G-CRP</t>
  </si>
  <si>
    <t xml:space="preserve">TRUSS</t>
  </si>
  <si>
    <t xml:space="preserve">RF02</t>
  </si>
  <si>
    <t xml:space="preserve">Loose-cut roof (38x114 rafters @ 600) lean-to</t>
  </si>
  <si>
    <t xml:space="preserve">TIM114</t>
  </si>
  <si>
    <t xml:space="preserve">RF03</t>
  </si>
  <si>
    <t xml:space="preserve">Wall plate 38x114 fixed with hoop iron</t>
  </si>
  <si>
    <t xml:space="preserve">RF04</t>
  </si>
  <si>
    <t xml:space="preserve">Concrete roof tiles on 38x38 battens incl underlay (slope area)</t>
  </si>
  <si>
    <t xml:space="preserve">G-RFR</t>
  </si>
  <si>
    <t xml:space="preserve">CTILE</t>
  </si>
  <si>
    <t xml:space="preserve">BAT38</t>
  </si>
  <si>
    <t xml:space="preserve">UNDERL</t>
  </si>
  <si>
    <t xml:space="preserve">RF05</t>
  </si>
  <si>
    <t xml:space="preserve">Clay roof tiles on battens incl underlay</t>
  </si>
  <si>
    <t xml:space="preserve">CLAYTILE</t>
  </si>
  <si>
    <t xml:space="preserve">RF06</t>
  </si>
  <si>
    <t xml:space="preserve">IBR 0.50 mm pre-painted sheeting fixed to purlins</t>
  </si>
  <si>
    <t xml:space="preserve">IBR05</t>
  </si>
  <si>
    <t xml:space="preserve">RF07</t>
  </si>
  <si>
    <t xml:space="preserve">IBR 0.47 mm Zincalume sheeting</t>
  </si>
  <si>
    <t xml:space="preserve">IBR047</t>
  </si>
  <si>
    <t xml:space="preserve">RF08</t>
  </si>
  <si>
    <t xml:space="preserve">Corrugated 0.50 mm galvanised sheeting</t>
  </si>
  <si>
    <t xml:space="preserve">CORR05</t>
  </si>
  <si>
    <t xml:space="preserve">RF09</t>
  </si>
  <si>
    <t xml:space="preserve">Timber purlins 38x114 @ 1.2 m crs</t>
  </si>
  <si>
    <t xml:space="preserve">RF10</t>
  </si>
  <si>
    <t xml:space="preserve">Steel lipped-channel purlins</t>
  </si>
  <si>
    <t xml:space="preserve">G-STW</t>
  </si>
  <si>
    <t xml:space="preserve">PURLIN</t>
  </si>
  <si>
    <t xml:space="preserve">RF11</t>
  </si>
  <si>
    <t xml:space="preserve">Concrete ridge / hip capping, bedded &amp; pointed</t>
  </si>
  <si>
    <t xml:space="preserve">RIDGE</t>
  </si>
  <si>
    <t xml:space="preserve">RF12</t>
  </si>
  <si>
    <t xml:space="preserve">Pre-painted ridge capping</t>
  </si>
  <si>
    <t xml:space="preserve">RIDGEIBR</t>
  </si>
  <si>
    <t xml:space="preserve">RF13</t>
  </si>
  <si>
    <t xml:space="preserve">Valley gutter</t>
  </si>
  <si>
    <t xml:space="preserve">VALLEY</t>
  </si>
  <si>
    <t xml:space="preserve">RF14</t>
  </si>
  <si>
    <t xml:space="preserve">Fibre-cement fascia 225 mm</t>
  </si>
  <si>
    <t xml:space="preserve">FASCIA</t>
  </si>
  <si>
    <t xml:space="preserve">RF15</t>
  </si>
  <si>
    <t xml:space="preserve">Fibre-cement barge board 225 mm</t>
  </si>
  <si>
    <t xml:space="preserve">RF16</t>
  </si>
  <si>
    <t xml:space="preserve">Seamless aluminium gutter 125 mm — installed</t>
  </si>
  <si>
    <t xml:space="preserve">GUTTER</t>
  </si>
  <si>
    <t xml:space="preserve">RF17</t>
  </si>
  <si>
    <t xml:space="preserve">Aluminium downpipe 75 mm incl brackets &amp; shoe</t>
  </si>
  <si>
    <t xml:space="preserve">DPIPE</t>
  </si>
  <si>
    <t xml:space="preserve">RF18</t>
  </si>
  <si>
    <t xml:space="preserve">Polyester ceiling insulation 135 mm (SANS 10400-XA)</t>
  </si>
  <si>
    <t xml:space="preserve">ISO135</t>
  </si>
  <si>
    <t xml:space="preserve">RF19</t>
  </si>
  <si>
    <t xml:space="preserve">Glasswool insulation 100 mm</t>
  </si>
  <si>
    <t xml:space="preserve">GLASS100</t>
  </si>
  <si>
    <t xml:space="preserve">RF20</t>
  </si>
  <si>
    <t xml:space="preserve">Reflective foil under sheeting</t>
  </si>
  <si>
    <t xml:space="preserve">FOIL</t>
  </si>
  <si>
    <t xml:space="preserve">RF21</t>
  </si>
  <si>
    <t xml:space="preserve">Thatch roof 200 mm incl poles &amp; fire treatment — installed</t>
  </si>
  <si>
    <t xml:space="preserve">THATCH</t>
  </si>
  <si>
    <t xml:space="preserve">RF22</t>
  </si>
  <si>
    <t xml:space="preserve">Polycarbonate sheeting 10 mm</t>
  </si>
  <si>
    <t xml:space="preserve">POLYC</t>
  </si>
  <si>
    <t xml:space="preserve">CARPENTRY, JOINERY &amp; IRONMONGERY</t>
  </si>
  <si>
    <t xml:space="preserve">JN01</t>
  </si>
  <si>
    <t xml:space="preserve">Hollow-core flush door hung in steel frame incl 1.5 pr hinges</t>
  </si>
  <si>
    <t xml:space="preserve">G-JNR</t>
  </si>
  <si>
    <t xml:space="preserve">DOORHC</t>
  </si>
  <si>
    <t xml:space="preserve">HINGE</t>
  </si>
  <si>
    <t xml:space="preserve">JN02</t>
  </si>
  <si>
    <t xml:space="preserve">Semi-solid internal door hung incl hinges</t>
  </si>
  <si>
    <t xml:space="preserve">DOORSS</t>
  </si>
  <si>
    <t xml:space="preserve">JN03</t>
  </si>
  <si>
    <t xml:space="preserve">Solid meranti external door hung incl hinges</t>
  </si>
  <si>
    <t xml:space="preserve">DOOREXT</t>
  </si>
  <si>
    <t xml:space="preserve">JN04</t>
  </si>
  <si>
    <t xml:space="preserve">Pressed steel door frame built in</t>
  </si>
  <si>
    <t xml:space="preserve">SFRAME</t>
  </si>
  <si>
    <t xml:space="preserve">JN05</t>
  </si>
  <si>
    <t xml:space="preserve">Hardwood external door frame built in</t>
  </si>
  <si>
    <t xml:space="preserve">HWFRAME</t>
  </si>
  <si>
    <t xml:space="preserve">JN06</t>
  </si>
  <si>
    <t xml:space="preserve">3-lever mortice lockset with handles</t>
  </si>
  <si>
    <t xml:space="preserve">LOCK3</t>
  </si>
  <si>
    <t xml:space="preserve">JN07</t>
  </si>
  <si>
    <t xml:space="preserve">2-lever mortice lockset with handles</t>
  </si>
  <si>
    <t xml:space="preserve">LOCK2</t>
  </si>
  <si>
    <t xml:space="preserve">JN08</t>
  </si>
  <si>
    <t xml:space="preserve">Cylinder lockset to external door</t>
  </si>
  <si>
    <t xml:space="preserve">CYLLOCK</t>
  </si>
  <si>
    <t xml:space="preserve">JN09</t>
  </si>
  <si>
    <t xml:space="preserve">Door stop</t>
  </si>
  <si>
    <t xml:space="preserve">DSTOP</t>
  </si>
  <si>
    <t xml:space="preserve">JN10</t>
  </si>
  <si>
    <t xml:space="preserve">Pine skirting 69 mm, fixed</t>
  </si>
  <si>
    <t xml:space="preserve">SKIRT</t>
  </si>
  <si>
    <t xml:space="preserve">JN11</t>
  </si>
  <si>
    <t xml:space="preserve">Built-in cupboards, melamine, full height — installed</t>
  </si>
  <si>
    <t xml:space="preserve">BIC</t>
  </si>
  <si>
    <t xml:space="preserve">JN12</t>
  </si>
  <si>
    <t xml:space="preserve">Kitchen base units incl post-formed top — installed</t>
  </si>
  <si>
    <t xml:space="preserve">KITBASE</t>
  </si>
  <si>
    <t xml:space="preserve">JN13</t>
  </si>
  <si>
    <t xml:space="preserve">Kitchen wall units — installed</t>
  </si>
  <si>
    <t xml:space="preserve">KITWALL</t>
  </si>
  <si>
    <t xml:space="preserve">JN14</t>
  </si>
  <si>
    <t xml:space="preserve">Granite / quartz worktop — installed</t>
  </si>
  <si>
    <t xml:space="preserve">GRANITE</t>
  </si>
  <si>
    <t xml:space="preserve">WINDOWS, EXTERNAL DOORS &amp; SECURITY</t>
  </si>
  <si>
    <t xml:space="preserve">WD01</t>
  </si>
  <si>
    <t xml:space="preserve">Standard steel window incl glazing, built in</t>
  </si>
  <si>
    <t xml:space="preserve">STEELWIN</t>
  </si>
  <si>
    <t xml:space="preserve">WD02</t>
  </si>
  <si>
    <t xml:space="preserve">Aluminium casement window, powder-coated, glazed, fixed</t>
  </si>
  <si>
    <t xml:space="preserve">G-GLZ</t>
  </si>
  <si>
    <t xml:space="preserve">ALUWIN</t>
  </si>
  <si>
    <t xml:space="preserve">WD03</t>
  </si>
  <si>
    <t xml:space="preserve">Aluminium sliding door, safety glass, fixed</t>
  </si>
  <si>
    <t xml:space="preserve">ALUSLD</t>
  </si>
  <si>
    <t xml:space="preserve">WD04</t>
  </si>
  <si>
    <t xml:space="preserve">Aluminium hinged / French door, safety glass, fixed</t>
  </si>
  <si>
    <t xml:space="preserve">ALUDOOR</t>
  </si>
  <si>
    <t xml:space="preserve">WD05</t>
  </si>
  <si>
    <t xml:space="preserve">uPVC window, glazed, fixed</t>
  </si>
  <si>
    <t xml:space="preserve">UPVCWIN</t>
  </si>
  <si>
    <t xml:space="preserve">WD06</t>
  </si>
  <si>
    <t xml:space="preserve">Meranti timber window, glazed, fixed</t>
  </si>
  <si>
    <t xml:space="preserve">TIMWIN</t>
  </si>
  <si>
    <t xml:space="preserve">WD07</t>
  </si>
  <si>
    <t xml:space="preserve">Burglar bars, fixed</t>
  </si>
  <si>
    <t xml:space="preserve">BURGLAR</t>
  </si>
  <si>
    <t xml:space="preserve">WD08</t>
  </si>
  <si>
    <t xml:space="preserve">Trellis security gate, fixed</t>
  </si>
  <si>
    <t xml:space="preserve">SECGATE</t>
  </si>
  <si>
    <t xml:space="preserve">WD09</t>
  </si>
  <si>
    <t xml:space="preserve">Sectional garage door 2.5 x 2.1 m — installed</t>
  </si>
  <si>
    <t xml:space="preserve">GARAGE</t>
  </si>
  <si>
    <t xml:space="preserve">WD10</t>
  </si>
  <si>
    <t xml:space="preserve">Garage door motor — installed</t>
  </si>
  <si>
    <t xml:space="preserve">GARMOTOR</t>
  </si>
  <si>
    <t xml:space="preserve">CEILINGS, PARTITIONS &amp; DRYLINING</t>
  </si>
  <si>
    <t xml:space="preserve">CL01</t>
  </si>
  <si>
    <t xml:space="preserve">6.4 mm gypsum ceiling on 38x38 brandering, taped</t>
  </si>
  <si>
    <t xml:space="preserve">G-DRY</t>
  </si>
  <si>
    <t xml:space="preserve">GYP64</t>
  </si>
  <si>
    <t xml:space="preserve">CL02</t>
  </si>
  <si>
    <t xml:space="preserve">9.5 mm gypsum ceiling on brandering, taped</t>
  </si>
  <si>
    <t xml:space="preserve">GYP95</t>
  </si>
  <si>
    <t xml:space="preserve">CL03</t>
  </si>
  <si>
    <t xml:space="preserve">Suspended 600x600 exposed-grid ceiling, mineral tiles</t>
  </si>
  <si>
    <t xml:space="preserve">SUSP</t>
  </si>
  <si>
    <t xml:space="preserve">CL04</t>
  </si>
  <si>
    <t xml:space="preserve">Suspended flush plasterboard ceiling on concealed grid, taped</t>
  </si>
  <si>
    <t xml:space="preserve">MFGRID</t>
  </si>
  <si>
    <t xml:space="preserve">CL05</t>
  </si>
  <si>
    <t xml:space="preserve">Fibre-cement eaves lining 6 mm on brandering</t>
  </si>
  <si>
    <t xml:space="preserve">FCBRD</t>
  </si>
  <si>
    <t xml:space="preserve">CL06</t>
  </si>
  <si>
    <t xml:space="preserve">Gypsum cove cornice 75 mm</t>
  </si>
  <si>
    <t xml:space="preserve">CORN75</t>
  </si>
  <si>
    <t xml:space="preserve">CL07</t>
  </si>
  <si>
    <t xml:space="preserve">Drywall partition 100 mm, 12.5 board each side on steel studs, taped</t>
  </si>
  <si>
    <t xml:space="preserve">DRYFRAME</t>
  </si>
  <si>
    <t xml:space="preserve">GYP125</t>
  </si>
  <si>
    <t xml:space="preserve">CL08</t>
  </si>
  <si>
    <t xml:space="preserve">Fire-rated drywall partition, 15 mm FR board each side</t>
  </si>
  <si>
    <t xml:space="preserve">GYPFR</t>
  </si>
  <si>
    <t xml:space="preserve">CL09</t>
  </si>
  <si>
    <t xml:space="preserve">Gypsum skim to board ceilings</t>
  </si>
  <si>
    <t xml:space="preserve">G-PLS</t>
  </si>
  <si>
    <t xml:space="preserve">SKIM</t>
  </si>
  <si>
    <t xml:space="preserve">CL10</t>
  </si>
  <si>
    <t xml:space="preserve">Ceiling access hatch 600x600</t>
  </si>
  <si>
    <t xml:space="preserve">HATCH</t>
  </si>
  <si>
    <t xml:space="preserve">CL11</t>
  </si>
  <si>
    <t xml:space="preserve">Gypsum bulkhead on brandering (per m run, &lt;= 600 girth)</t>
  </si>
  <si>
    <t xml:space="preserve">FLOOR FINISHES</t>
  </si>
  <si>
    <t xml:space="preserve">FL01</t>
  </si>
  <si>
    <t xml:space="preserve">Sand-cement screed 40 mm incl bonding</t>
  </si>
  <si>
    <t xml:space="preserve">SCREEDMIX</t>
  </si>
  <si>
    <t xml:space="preserve">FL02</t>
  </si>
  <si>
    <t xml:space="preserve">Sand-cement screed 75 mm</t>
  </si>
  <si>
    <t xml:space="preserve">FL03</t>
  </si>
  <si>
    <t xml:space="preserve">Self-levelling compound 5 mm</t>
  </si>
  <si>
    <t xml:space="preserve">SLS</t>
  </si>
  <si>
    <t xml:space="preserve">FL04</t>
  </si>
  <si>
    <t xml:space="preserve">Luxury vinyl click plank</t>
  </si>
  <si>
    <t xml:space="preserve">G-TIL</t>
  </si>
  <si>
    <t xml:space="preserve">LVT</t>
  </si>
  <si>
    <t xml:space="preserve">FL05</t>
  </si>
  <si>
    <t xml:space="preserve">Carpet tiles incl adhesive</t>
  </si>
  <si>
    <t xml:space="preserve">CARPTILE</t>
  </si>
  <si>
    <t xml:space="preserve">FL06</t>
  </si>
  <si>
    <t xml:space="preserve">Broadloom carpet incl underfelt &amp; grippers</t>
  </si>
  <si>
    <t xml:space="preserve">CARPET</t>
  </si>
  <si>
    <t xml:space="preserve">FL07</t>
  </si>
  <si>
    <t xml:space="preserve">Laminated flooring 8 mm incl underlay</t>
  </si>
  <si>
    <t xml:space="preserve">LAMIN</t>
  </si>
  <si>
    <t xml:space="preserve">UNDERLAYF</t>
  </si>
  <si>
    <t xml:space="preserve">FL08</t>
  </si>
  <si>
    <t xml:space="preserve">Engineered timber flooring, glued</t>
  </si>
  <si>
    <t xml:space="preserve">ENGTIM</t>
  </si>
  <si>
    <t xml:space="preserve">FL09</t>
  </si>
  <si>
    <t xml:space="preserve">Epoxy floor coating system</t>
  </si>
  <si>
    <t xml:space="preserve">G-PNT</t>
  </si>
  <si>
    <t xml:space="preserve">EPOXY</t>
  </si>
  <si>
    <t xml:space="preserve">FL10</t>
  </si>
  <si>
    <t xml:space="preserve">Polished concrete: grind &amp; seal</t>
  </si>
  <si>
    <t xml:space="preserve">P-GRINDER</t>
  </si>
  <si>
    <t xml:space="preserve">TILING</t>
  </si>
  <si>
    <t xml:space="preserve">TL01</t>
  </si>
  <si>
    <t xml:space="preserve">Ceramic floor tiles (PC R180/m2) on adhesive, grouted</t>
  </si>
  <si>
    <t xml:space="preserve">TILEFC</t>
  </si>
  <si>
    <t xml:space="preserve">ADH</t>
  </si>
  <si>
    <t xml:space="preserve">GROUT</t>
  </si>
  <si>
    <t xml:space="preserve">TL02</t>
  </si>
  <si>
    <t xml:space="preserve">Porcelain 600x600 floor tiles (PC R320/m2)</t>
  </si>
  <si>
    <t xml:space="preserve">TILEPOR</t>
  </si>
  <si>
    <t xml:space="preserve">TL03</t>
  </si>
  <si>
    <t xml:space="preserve">Ceramic wall tiles (PC R165/m2)</t>
  </si>
  <si>
    <t xml:space="preserve">TILEWC</t>
  </si>
  <si>
    <t xml:space="preserve">TL04</t>
  </si>
  <si>
    <t xml:space="preserve">Large-format porcelain 600x1200 (PC R480/m2)</t>
  </si>
  <si>
    <t xml:space="preserve">TILELF</t>
  </si>
  <si>
    <t xml:space="preserve">TL05</t>
  </si>
  <si>
    <t xml:space="preserve">Tile skirting 100 mm</t>
  </si>
  <si>
    <t xml:space="preserve">TL06</t>
  </si>
  <si>
    <t xml:space="preserve">Aluminium tile trim</t>
  </si>
  <si>
    <t xml:space="preserve">TRIM</t>
  </si>
  <si>
    <t xml:space="preserve">TL07</t>
  </si>
  <si>
    <t xml:space="preserve">Mosaic tiles on mesh</t>
  </si>
  <si>
    <t xml:space="preserve">MOSAIC</t>
  </si>
  <si>
    <t xml:space="preserve">TL08</t>
  </si>
  <si>
    <t xml:space="preserve">Natural slate / stone paving on adhesive</t>
  </si>
  <si>
    <t xml:space="preserve">SLATE</t>
  </si>
  <si>
    <t xml:space="preserve">PLASTERING</t>
  </si>
  <si>
    <t xml:space="preserve">PL01</t>
  </si>
  <si>
    <t xml:space="preserve">Internal plaster 15 mm 1:5 on brickwork, wood-float / steel trowel</t>
  </si>
  <si>
    <t xml:space="preserve">PLASMIX</t>
  </si>
  <si>
    <t xml:space="preserve">PL02</t>
  </si>
  <si>
    <t xml:space="preserve">External plaster 15 mm incl waterproofing additive</t>
  </si>
  <si>
    <t xml:space="preserve">PL03</t>
  </si>
  <si>
    <t xml:space="preserve">Plaster to concrete soffits 12 mm incl bonding</t>
  </si>
  <si>
    <t xml:space="preserve">PL04</t>
  </si>
  <si>
    <t xml:space="preserve">Gypsum skim 3 mm on plaster</t>
  </si>
  <si>
    <t xml:space="preserve">PL05</t>
  </si>
  <si>
    <t xml:space="preserve">Bagging / bag-wash to brickwork</t>
  </si>
  <si>
    <t xml:space="preserve">PL06</t>
  </si>
  <si>
    <t xml:space="preserve">Plaster to reveals &amp; soffits &lt;= 300 wide</t>
  </si>
  <si>
    <t xml:space="preserve">PL07</t>
  </si>
  <si>
    <t xml:space="preserve">Galvanised angle bead</t>
  </si>
  <si>
    <t xml:space="preserve">BEAD</t>
  </si>
  <si>
    <t xml:space="preserve">PL08</t>
  </si>
  <si>
    <t xml:space="preserve">Textured external finish</t>
  </si>
  <si>
    <t xml:space="preserve">PLUMBING &amp; DRAINAGE</t>
  </si>
  <si>
    <t xml:space="preserve">PD01</t>
  </si>
  <si>
    <t xml:space="preserve">110 mm uPVC drain in trench incl bedding &amp; fittings (excl excavation)</t>
  </si>
  <si>
    <t xml:space="preserve">PVC110</t>
  </si>
  <si>
    <t xml:space="preserve">RSAND</t>
  </si>
  <si>
    <t xml:space="preserve">PD02</t>
  </si>
  <si>
    <t xml:space="preserve">160 mm uPVC drain in trench incl bedding &amp; fittings</t>
  </si>
  <si>
    <t xml:space="preserve">PVC160</t>
  </si>
  <si>
    <t xml:space="preserve">PD03</t>
  </si>
  <si>
    <t xml:space="preserve">50 mm uPVC waste pipe incl fittings</t>
  </si>
  <si>
    <t xml:space="preserve">PVC50</t>
  </si>
  <si>
    <t xml:space="preserve">PD04</t>
  </si>
  <si>
    <t xml:space="preserve">40 mm uPVC waste pipe incl fittings</t>
  </si>
  <si>
    <t xml:space="preserve">PVC40</t>
  </si>
  <si>
    <t xml:space="preserve">PD05</t>
  </si>
  <si>
    <t xml:space="preserve">22 mm copper Class 0 incl fittings &amp; chasing</t>
  </si>
  <si>
    <t xml:space="preserve">CU22</t>
  </si>
  <si>
    <t xml:space="preserve">PD06</t>
  </si>
  <si>
    <t xml:space="preserve">15 mm copper Class 0 incl fittings &amp; chasing</t>
  </si>
  <si>
    <t xml:space="preserve">CU15</t>
  </si>
  <si>
    <t xml:space="preserve">PD07</t>
  </si>
  <si>
    <t xml:space="preserve">16 mm multilayer PEX incl fittings</t>
  </si>
  <si>
    <t xml:space="preserve">PEX16</t>
  </si>
  <si>
    <t xml:space="preserve">PD08</t>
  </si>
  <si>
    <t xml:space="preserve">25 mm HDPE water service in trench</t>
  </si>
  <si>
    <t xml:space="preserve">HDPE25</t>
  </si>
  <si>
    <t xml:space="preserve">PD09</t>
  </si>
  <si>
    <t xml:space="preserve">Brick manhole 600x450 &lt;= 1.0 m deep incl benching &amp; cover</t>
  </si>
  <si>
    <t xml:space="preserve">MHCOVER</t>
  </si>
  <si>
    <t xml:space="preserve">PD10</t>
  </si>
  <si>
    <t xml:space="preserve">Plastic inspection chamber 450 incl lid</t>
  </si>
  <si>
    <t xml:space="preserve">ICHAM</t>
  </si>
  <si>
    <t xml:space="preserve">PD11</t>
  </si>
  <si>
    <t xml:space="preserve">Rodding / inspection eye</t>
  </si>
  <si>
    <t xml:space="preserve">RODEYE</t>
  </si>
  <si>
    <t xml:space="preserve">PD12</t>
  </si>
  <si>
    <t xml:space="preserve">Gully with grid incl brick surround</t>
  </si>
  <si>
    <t xml:space="preserve">GULLY</t>
  </si>
  <si>
    <t xml:space="preserve">PD13</t>
  </si>
  <si>
    <t xml:space="preserve">Connect to municipal sewer incl permit</t>
  </si>
  <si>
    <t xml:space="preserve">PD14</t>
  </si>
  <si>
    <t xml:space="preserve">Close-coupled WC suite fitted incl connectors</t>
  </si>
  <si>
    <t xml:space="preserve">WCSUITE</t>
  </si>
  <si>
    <t xml:space="preserve">PD15</t>
  </si>
  <si>
    <t xml:space="preserve">Wash basin + pedestal with mixer &amp; waste</t>
  </si>
  <si>
    <t xml:space="preserve">BASIN</t>
  </si>
  <si>
    <t xml:space="preserve">BASINMIX</t>
  </si>
  <si>
    <t xml:space="preserve">PD16</t>
  </si>
  <si>
    <t xml:space="preserve">Acrylic bath 1700 with mixer &amp; waste</t>
  </si>
  <si>
    <t xml:space="preserve">BATH</t>
  </si>
  <si>
    <t xml:space="preserve">BATHMIX</t>
  </si>
  <si>
    <t xml:space="preserve">PD17</t>
  </si>
  <si>
    <t xml:space="preserve">Shower mixer, rose &amp; waste</t>
  </si>
  <si>
    <t xml:space="preserve">SHOWMIX</t>
  </si>
  <si>
    <t xml:space="preserve">PD18</t>
  </si>
  <si>
    <t xml:space="preserve">Frameless shower screen / door — installed</t>
  </si>
  <si>
    <t xml:space="preserve">SHOWSCREEN</t>
  </si>
  <si>
    <t xml:space="preserve">PD19</t>
  </si>
  <si>
    <t xml:space="preserve">Stainless double-bowl sink with mixer &amp; waste</t>
  </si>
  <si>
    <t xml:space="preserve">SINK</t>
  </si>
  <si>
    <t xml:space="preserve">SINKMIX</t>
  </si>
  <si>
    <t xml:space="preserve">PD20</t>
  </si>
  <si>
    <t xml:space="preserve">Electric geyser 150 L incl drip tray &amp; valves (SANS 10254)</t>
  </si>
  <si>
    <t xml:space="preserve">GEY150</t>
  </si>
  <si>
    <t xml:space="preserve">GEYKIT</t>
  </si>
  <si>
    <t xml:space="preserve">PD21</t>
  </si>
  <si>
    <t xml:space="preserve">Electric geyser 200 L incl drip tray &amp; valves</t>
  </si>
  <si>
    <t xml:space="preserve">GEY200</t>
  </si>
  <si>
    <t xml:space="preserve">PD22</t>
  </si>
  <si>
    <t xml:space="preserve">Solar water heater 200 L high-pressure — installed</t>
  </si>
  <si>
    <t xml:space="preserve">SOLARGEY</t>
  </si>
  <si>
    <t xml:space="preserve">PD23</t>
  </si>
  <si>
    <t xml:space="preserve">Heat pump water heater — installed</t>
  </si>
  <si>
    <t xml:space="preserve">HEATPUMP</t>
  </si>
  <si>
    <t xml:space="preserve">PD24</t>
  </si>
  <si>
    <t xml:space="preserve">5,000 L rainwater tank on concrete base incl connection</t>
  </si>
  <si>
    <t xml:space="preserve">TANK5000</t>
  </si>
  <si>
    <t xml:space="preserve">PD25</t>
  </si>
  <si>
    <t xml:space="preserve">Garden tap</t>
  </si>
  <si>
    <t xml:space="preserve">GTAP</t>
  </si>
  <si>
    <t xml:space="preserve">PD26</t>
  </si>
  <si>
    <t xml:space="preserve">Isolating valve 22 mm</t>
  </si>
  <si>
    <t xml:space="preserve">VALVE22</t>
  </si>
  <si>
    <t xml:space="preserve">PD27</t>
  </si>
  <si>
    <t xml:space="preserve">Septic tank 2,500 L incl excavation &amp; soakaway</t>
  </si>
  <si>
    <t xml:space="preserve">SEPTIC</t>
  </si>
  <si>
    <t xml:space="preserve">PD28</t>
  </si>
  <si>
    <t xml:space="preserve">Municipal water meter connection (fees)</t>
  </si>
  <si>
    <t xml:space="preserve">PD29</t>
  </si>
  <si>
    <t xml:space="preserve">Floor drain / shower channel</t>
  </si>
  <si>
    <t xml:space="preserve">FDRAIN</t>
  </si>
  <si>
    <t xml:space="preserve">ELECTRICAL (SANS 10142-1)</t>
  </si>
  <si>
    <t xml:space="preserve">EL01</t>
  </si>
  <si>
    <t xml:space="preserve">Light point complete incl conduit, wiring &amp; switch</t>
  </si>
  <si>
    <t xml:space="preserve">G-ELE</t>
  </si>
  <si>
    <t xml:space="preserve">ELIGHTPT</t>
  </si>
  <si>
    <t xml:space="preserve">EL02</t>
  </si>
  <si>
    <t xml:space="preserve">LED downlight, supply &amp; fix</t>
  </si>
  <si>
    <t xml:space="preserve">LEDDL</t>
  </si>
  <si>
    <t xml:space="preserve">EL03</t>
  </si>
  <si>
    <t xml:space="preserve">LED batten / ceiling fitting, supply &amp; fix</t>
  </si>
  <si>
    <t xml:space="preserve">LEDBAT</t>
  </si>
  <si>
    <t xml:space="preserve">EL04</t>
  </si>
  <si>
    <t xml:space="preserve">Double switched socket outlet complete</t>
  </si>
  <si>
    <t xml:space="preserve">ESOCKET</t>
  </si>
  <si>
    <t xml:space="preserve">EL05</t>
  </si>
  <si>
    <t xml:space="preserve">Stove circuit incl isolator</t>
  </si>
  <si>
    <t xml:space="preserve">ESTOVE</t>
  </si>
  <si>
    <t xml:space="preserve">EL06</t>
  </si>
  <si>
    <t xml:space="preserve">Geyser circuit incl isolator &amp; timer</t>
  </si>
  <si>
    <t xml:space="preserve">EGEYSER</t>
  </si>
  <si>
    <t xml:space="preserve">EL07</t>
  </si>
  <si>
    <t xml:space="preserve">12-way DB board fully equipped</t>
  </si>
  <si>
    <t xml:space="preserve">DB12</t>
  </si>
  <si>
    <t xml:space="preserve">EL08</t>
  </si>
  <si>
    <t xml:space="preserve">24-way DB board fully equipped</t>
  </si>
  <si>
    <t xml:space="preserve">DB24</t>
  </si>
  <si>
    <t xml:space="preserve">EL09</t>
  </si>
  <si>
    <t xml:space="preserve">16 mm2 4-core SWA supply cable, laid</t>
  </si>
  <si>
    <t xml:space="preserve">SWA16</t>
  </si>
  <si>
    <t xml:space="preserve">EL10</t>
  </si>
  <si>
    <t xml:space="preserve">Cable trench 600 deep, excavate, backfill &amp; warning tape</t>
  </si>
  <si>
    <t xml:space="preserve">EL11</t>
  </si>
  <si>
    <t xml:space="preserve">Earth spike &amp; bonding</t>
  </si>
  <si>
    <t xml:space="preserve">EARTH</t>
  </si>
  <si>
    <t xml:space="preserve">EL12</t>
  </si>
  <si>
    <t xml:space="preserve">External wall light</t>
  </si>
  <si>
    <t xml:space="preserve">EXTLIGHT</t>
  </si>
  <si>
    <t xml:space="preserve">EL13</t>
  </si>
  <si>
    <t xml:space="preserve">Data / TV point</t>
  </si>
  <si>
    <t xml:space="preserve">EDATA</t>
  </si>
  <si>
    <t xml:space="preserve">EL14</t>
  </si>
  <si>
    <t xml:space="preserve">Bathroom extractor fan incl wiring</t>
  </si>
  <si>
    <t xml:space="preserve">EXTFAN</t>
  </si>
  <si>
    <t xml:space="preserve">EL15</t>
  </si>
  <si>
    <t xml:space="preserve">Prepaid / municipal meter connection (fees)</t>
  </si>
  <si>
    <t xml:space="preserve">EL16</t>
  </si>
  <si>
    <t xml:space="preserve">Solar PV 5 kW hybrid + 10 kWh battery — installed</t>
  </si>
  <si>
    <t xml:space="preserve">PVSYS5</t>
  </si>
  <si>
    <t xml:space="preserve">EL17</t>
  </si>
  <si>
    <t xml:space="preserve">Smoke detector</t>
  </si>
  <si>
    <t xml:space="preserve">SMOKE</t>
  </si>
  <si>
    <t xml:space="preserve">EL18</t>
  </si>
  <si>
    <t xml:space="preserve">Split AC 12,000 BTU — installed</t>
  </si>
  <si>
    <t xml:space="preserve">AC12</t>
  </si>
  <si>
    <t xml:space="preserve">EL19</t>
  </si>
  <si>
    <t xml:space="preserve">Split AC 18,000 BTU — installed</t>
  </si>
  <si>
    <t xml:space="preserve">AC18</t>
  </si>
  <si>
    <t xml:space="preserve">EL20</t>
  </si>
  <si>
    <t xml:space="preserve">Split AC 24,000 BTU — installed</t>
  </si>
  <si>
    <t xml:space="preserve">AC24</t>
  </si>
  <si>
    <t xml:space="preserve">EL21</t>
  </si>
  <si>
    <t xml:space="preserve">Electric fence wall-top — installed</t>
  </si>
  <si>
    <t xml:space="preserve">EFENCE</t>
  </si>
  <si>
    <t xml:space="preserve">EL22</t>
  </si>
  <si>
    <t xml:space="preserve">4-camera CCTV — installed</t>
  </si>
  <si>
    <t xml:space="preserve">CCTV4</t>
  </si>
  <si>
    <t xml:space="preserve">EL23</t>
  </si>
  <si>
    <t xml:space="preserve">6-zone alarm — installed</t>
  </si>
  <si>
    <t xml:space="preserve">ALARM</t>
  </si>
  <si>
    <t xml:space="preserve">STRUCTURAL STEEL &amp; METALWORK</t>
  </si>
  <si>
    <t xml:space="preserve">SS01</t>
  </si>
  <si>
    <t xml:space="preserve">Structural steel sections, fabricated, primed, erected</t>
  </si>
  <si>
    <t xml:space="preserve">STEELFAB</t>
  </si>
  <si>
    <t xml:space="preserve">P-CRANE</t>
  </si>
  <si>
    <t xml:space="preserve">SS02</t>
  </si>
  <si>
    <t xml:space="preserve">Light steel sections &lt;= 20 kg/m, fabricated &amp; erected</t>
  </si>
  <si>
    <t xml:space="preserve">SS03</t>
  </si>
  <si>
    <t xml:space="preserve">Hot-dip galvanising, extra</t>
  </si>
  <si>
    <t xml:space="preserve">GALV</t>
  </si>
  <si>
    <t xml:space="preserve">SS04</t>
  </si>
  <si>
    <t xml:space="preserve">Holding-down bolt set M16, cast in</t>
  </si>
  <si>
    <t xml:space="preserve">HDB</t>
  </si>
  <si>
    <t xml:space="preserve">SS05</t>
  </si>
  <si>
    <t xml:space="preserve">Mild steel balustrade, fixed</t>
  </si>
  <si>
    <t xml:space="preserve">BALUS</t>
  </si>
  <si>
    <t xml:space="preserve">SS06</t>
  </si>
  <si>
    <t xml:space="preserve">Glass / stainless balustrade — installed</t>
  </si>
  <si>
    <t xml:space="preserve">GLBAL</t>
  </si>
  <si>
    <t xml:space="preserve">SS07</t>
  </si>
  <si>
    <t xml:space="preserve">Intumescent coating 60 min to steel</t>
  </si>
  <si>
    <t xml:space="preserve">INTUM</t>
  </si>
  <si>
    <t xml:space="preserve">PAINTWORK</t>
  </si>
  <si>
    <t xml:space="preserve">PT01</t>
  </si>
  <si>
    <t xml:space="preserve">Plaster primer + 2 coats PVA to internal walls</t>
  </si>
  <si>
    <t xml:space="preserve">PRIMER</t>
  </si>
  <si>
    <t xml:space="preserve">PVA</t>
  </si>
  <si>
    <t xml:space="preserve">PT02</t>
  </si>
  <si>
    <t xml:space="preserve">Plaster primer + 2 coats PVA to ceilings</t>
  </si>
  <si>
    <t xml:space="preserve">PT03</t>
  </si>
  <si>
    <t xml:space="preserve">Primer + 2 coats exterior acrylic to plaster</t>
  </si>
  <si>
    <t xml:space="preserve">ACRYL</t>
  </si>
  <si>
    <t xml:space="preserve">PT04</t>
  </si>
  <si>
    <t xml:space="preserve">Primer + elastomeric exterior system</t>
  </si>
  <si>
    <t xml:space="preserve">ELAST</t>
  </si>
  <si>
    <t xml:space="preserve">PT05</t>
  </si>
  <si>
    <t xml:space="preserve">Undercoat + 2 coats enamel to joinery</t>
  </si>
  <si>
    <t xml:space="preserve">UNDERC</t>
  </si>
  <si>
    <t xml:space="preserve">ENAMEL</t>
  </si>
  <si>
    <t xml:space="preserve">PT06</t>
  </si>
  <si>
    <t xml:space="preserve">Primer, undercoat + 2 coats enamel to steelwork</t>
  </si>
  <si>
    <t xml:space="preserve">METPRIM</t>
  </si>
  <si>
    <t xml:space="preserve">PT07</t>
  </si>
  <si>
    <t xml:space="preserve">Undercoat + 2 coats enamel to door, both sides</t>
  </si>
  <si>
    <t xml:space="preserve">PT08</t>
  </si>
  <si>
    <t xml:space="preserve">Varnish / sealer to timber, 3 coats</t>
  </si>
  <si>
    <t xml:space="preserve">VARNISH</t>
  </si>
  <si>
    <t xml:space="preserve">PT09</t>
  </si>
  <si>
    <t xml:space="preserve">Enamel to skirting &lt;= 150 girth</t>
  </si>
  <si>
    <t xml:space="preserve">PT10</t>
  </si>
  <si>
    <t xml:space="preserve">Roof paint to tiles / sheeting, 2 coats</t>
  </si>
  <si>
    <t xml:space="preserve">ROOFPAINT</t>
  </si>
  <si>
    <t xml:space="preserve">PT11</t>
  </si>
  <si>
    <t xml:space="preserve">Prepare &amp; repaint existing walls, fill, sand, 2 coats PVA</t>
  </si>
  <si>
    <t xml:space="preserve">GLAZING</t>
  </si>
  <si>
    <t xml:space="preserve">GL01</t>
  </si>
  <si>
    <t xml:space="preserve">4 mm clear float glass in frames, putty</t>
  </si>
  <si>
    <t xml:space="preserve">GLASS4</t>
  </si>
  <si>
    <t xml:space="preserve">GL02</t>
  </si>
  <si>
    <t xml:space="preserve">6.38 mm laminated safety glass (SANS 10400-N)</t>
  </si>
  <si>
    <t xml:space="preserve">GLASS638</t>
  </si>
  <si>
    <t xml:space="preserve">GL03</t>
  </si>
  <si>
    <t xml:space="preserve">6 mm mirror, polished edges, fixed</t>
  </si>
  <si>
    <t xml:space="preserve">MIRROR</t>
  </si>
  <si>
    <t xml:space="preserve">GL04</t>
  </si>
  <si>
    <t xml:space="preserve">Double-glazed unit 4-12-4</t>
  </si>
  <si>
    <t xml:space="preserve">DGU</t>
  </si>
  <si>
    <t xml:space="preserve">EXTERNAL WORKS</t>
  </si>
  <si>
    <t xml:space="preserve">EX01</t>
  </si>
  <si>
    <t xml:space="preserve">80 mm interlocking pavers on sand bed on 150 mm G5 base (vehicular)</t>
  </si>
  <si>
    <t xml:space="preserve">G-PAV</t>
  </si>
  <si>
    <t xml:space="preserve">PAVER80</t>
  </si>
  <si>
    <t xml:space="preserve">EX02</t>
  </si>
  <si>
    <t xml:space="preserve">60 mm interlocking pavers on sand bed on 100 mm G5 (pedestrian)</t>
  </si>
  <si>
    <t xml:space="preserve">PAVER60</t>
  </si>
  <si>
    <t xml:space="preserve">EX03</t>
  </si>
  <si>
    <t xml:space="preserve">Precast kerb bedded &amp; backed in concrete</t>
  </si>
  <si>
    <t xml:space="preserve">KERB</t>
  </si>
  <si>
    <t xml:space="preserve">EX04</t>
  </si>
  <si>
    <t xml:space="preserve">Precast channel bedded in concrete</t>
  </si>
  <si>
    <t xml:space="preserve">CHANNEL</t>
  </si>
  <si>
    <t xml:space="preserve">EX05</t>
  </si>
  <si>
    <t xml:space="preserve">Concrete driveway 100 mm 25 MPa incl Ref 193 mesh, broom finish</t>
  </si>
  <si>
    <t xml:space="preserve">EX06</t>
  </si>
  <si>
    <t xml:space="preserve">Clay pavers on sand bed on 100 mm G5</t>
  </si>
  <si>
    <t xml:space="preserve">CLAYPAVER</t>
  </si>
  <si>
    <t xml:space="preserve">EX07</t>
  </si>
  <si>
    <t xml:space="preserve">30 mm asphalt incl prime — installed</t>
  </si>
  <si>
    <t xml:space="preserve">ASPHALT</t>
  </si>
  <si>
    <t xml:space="preserve">EX08</t>
  </si>
  <si>
    <t xml:space="preserve">Galvanised palisade fencing 1.8 m — installed</t>
  </si>
  <si>
    <t xml:space="preserve">PALISADE</t>
  </si>
  <si>
    <t xml:space="preserve">EX09</t>
  </si>
  <si>
    <t xml:space="preserve">358 anti-climb mesh fencing 2.4 m — installed</t>
  </si>
  <si>
    <t xml:space="preserve">CLEARVU</t>
  </si>
  <si>
    <t xml:space="preserve">EX10</t>
  </si>
  <si>
    <t xml:space="preserve">Diamond mesh fencing 1.8 m on galvanised posts in concrete</t>
  </si>
  <si>
    <t xml:space="preserve">DIAMOND</t>
  </si>
  <si>
    <t xml:space="preserve">EX11</t>
  </si>
  <si>
    <t xml:space="preserve">Steel sliding driveway gate 4 m incl motor — installed</t>
  </si>
  <si>
    <t xml:space="preserve">SLGATE</t>
  </si>
  <si>
    <t xml:space="preserve">EX12</t>
  </si>
  <si>
    <t xml:space="preserve">Steel pedestrian gate, hung</t>
  </si>
  <si>
    <t xml:space="preserve">PEDGATE</t>
  </si>
  <si>
    <t xml:space="preserve">EX13</t>
  </si>
  <si>
    <t xml:space="preserve">Instant lawn incl compost &amp; preparation</t>
  </si>
  <si>
    <t xml:space="preserve">LAWN</t>
  </si>
  <si>
    <t xml:space="preserve">EX14</t>
  </si>
  <si>
    <t xml:space="preserve">Planting shrub, 5 L bag</t>
  </si>
  <si>
    <t xml:space="preserve">EX15</t>
  </si>
  <si>
    <t xml:space="preserve">In-situ concrete V-drain / stormwater channel</t>
  </si>
  <si>
    <t xml:space="preserve">EX16</t>
  </si>
  <si>
    <t xml:space="preserve">Concrete retaining blocks incl backfill &amp; geofabric (per m2 face)</t>
  </si>
  <si>
    <t xml:space="preserve">TERRA</t>
  </si>
  <si>
    <t xml:space="preserve">FIRE PROTECTION (SANS 10400-T)</t>
  </si>
  <si>
    <t xml:space="preserve">FR01</t>
  </si>
  <si>
    <t xml:space="preserve">Fire extinguisher 4.5 kg DCP incl bracket &amp; sign</t>
  </si>
  <si>
    <t xml:space="preserve">G-SEM</t>
  </si>
  <si>
    <t xml:space="preserve">FIREEXT</t>
  </si>
  <si>
    <t xml:space="preserve">FR02</t>
  </si>
  <si>
    <t xml:space="preserve">Fire hose reel 30 m incl connection</t>
  </si>
  <si>
    <t xml:space="preserve">HOSEREEL</t>
  </si>
  <si>
    <t xml:space="preserve">FR03</t>
  </si>
  <si>
    <t xml:space="preserve">LED emergency exit sign</t>
  </si>
  <si>
    <t xml:space="preserve">EXITSIGN</t>
  </si>
  <si>
    <t xml:space="preserve">Category</t>
  </si>
  <si>
    <t xml:space="preserve">Price ex VAT (R)</t>
  </si>
  <si>
    <t xml:space="preserve">Basis</t>
  </si>
  <si>
    <t xml:space="preserve">Source / note</t>
  </si>
  <si>
    <t xml:space="preserve">CEM</t>
  </si>
  <si>
    <t xml:space="preserve">Aggregates &amp; binders</t>
  </si>
  <si>
    <t xml:space="preserve">Cement CEM II 42.5N, 50 kg bag</t>
  </si>
  <si>
    <t xml:space="preserve">bag</t>
  </si>
  <si>
    <t xml:space="preserve">MARKET</t>
  </si>
  <si>
    <t xml:space="preserve">Gauteng R95-R120 incl VAT (handyman JHB 2026 guide)</t>
  </si>
  <si>
    <t xml:space="preserve">LIME</t>
  </si>
  <si>
    <t xml:space="preserve">Builders lime, 25 kg bag</t>
  </si>
  <si>
    <t xml:space="preserve">QS ESTIMATE</t>
  </si>
  <si>
    <t xml:space="preserve">BSAND</t>
  </si>
  <si>
    <t xml:space="preserve">Building sand, delivered</t>
  </si>
  <si>
    <t xml:space="preserve">R350-R550/m3 (JHB 2026 guide)</t>
  </si>
  <si>
    <t xml:space="preserve">PSAND</t>
  </si>
  <si>
    <t xml:space="preserve">Plaster sand, delivered</t>
  </si>
  <si>
    <t xml:space="preserve">R300-R450/m3</t>
  </si>
  <si>
    <t xml:space="preserve">River / concrete sand, delivered</t>
  </si>
  <si>
    <t xml:space="preserve">Premium over building sand</t>
  </si>
  <si>
    <t xml:space="preserve">STONE19</t>
  </si>
  <si>
    <t xml:space="preserve">19 mm crushed stone, delivered</t>
  </si>
  <si>
    <t xml:space="preserve">R400-R700/m3</t>
  </si>
  <si>
    <t xml:space="preserve">Imported G5 selected fill, delivered</t>
  </si>
  <si>
    <t xml:space="preserve">Composites</t>
  </si>
  <si>
    <t xml:space="preserve">Class II mortar 1:4 (7 bags cement + 1.1 m3 building sand)</t>
  </si>
  <si>
    <t xml:space="preserve">COMPOSITE</t>
  </si>
  <si>
    <t xml:space="preserve">Formula</t>
  </si>
  <si>
    <t xml:space="preserve">Plaster 1:5 (6 bags cement + 1.15 m3 plaster sand)</t>
  </si>
  <si>
    <t xml:space="preserve">Site-mixed 25 MPa concrete (7 bags + 0.65 sand + 0.75 stone) — PPC ~6.7 bags/m3 for 20-29 MPa</t>
  </si>
  <si>
    <t xml:space="preserve">Formula; PPC mix guidance</t>
  </si>
  <si>
    <t xml:space="preserve">Screed 1:4 (8 bags cement + 1.1 m3 river sand)</t>
  </si>
  <si>
    <t xml:space="preserve">Concrete</t>
  </si>
  <si>
    <t xml:space="preserve">Readymix 15 MPa / 19 mm, delivered (full loads)</t>
  </si>
  <si>
    <t xml:space="preserve">Readymix R1,200-R1,800/m3 market range</t>
  </si>
  <si>
    <t xml:space="preserve">RM20</t>
  </si>
  <si>
    <t xml:space="preserve">Readymix 20 MPa</t>
  </si>
  <si>
    <t xml:space="preserve">Readymix 25 MPa</t>
  </si>
  <si>
    <t xml:space="preserve">Readymix 30 MPa</t>
  </si>
  <si>
    <t xml:space="preserve">RM35</t>
  </si>
  <si>
    <t xml:space="preserve">Readymix 35 MPa</t>
  </si>
  <si>
    <t xml:space="preserve">Reinforcement</t>
  </si>
  <si>
    <t xml:space="preserve">High-yield Y-bar, scheduled, cut &amp; bent, delivered</t>
  </si>
  <si>
    <t xml:space="preserve">Mild steel R-bar, cut &amp; bent, delivered</t>
  </si>
  <si>
    <t xml:space="preserve">Fabric mesh Ref 193</t>
  </si>
  <si>
    <t xml:space="preserve">Fabric mesh Ref 245</t>
  </si>
  <si>
    <t xml:space="preserve">Fabric mesh Ref 100</t>
  </si>
  <si>
    <t xml:space="preserve">Binding wire</t>
  </si>
  <si>
    <t xml:space="preserve">kg</t>
  </si>
  <si>
    <t xml:space="preserve">Formwork</t>
  </si>
  <si>
    <t xml:space="preserve">Formwork materials (18 mm shutter ply + timber, 4 uses)</t>
  </si>
  <si>
    <t xml:space="preserve">250 micron DPM (SANS 952)</t>
  </si>
  <si>
    <t xml:space="preserve">Joint filler + polyurethane sealant</t>
  </si>
  <si>
    <t xml:space="preserve">Masonry</t>
  </si>
  <si>
    <t xml:space="preserve">Precast prestressed lintel 110 mm</t>
  </si>
  <si>
    <t xml:space="preserve">Rib-and-block suspended slab system (beams + blocks, excl topping)</t>
  </si>
  <si>
    <t xml:space="preserve">Clay stock brick NFP 222x106x73</t>
  </si>
  <si>
    <t xml:space="preserve">R1,600-R2,500 per 1,000</t>
  </si>
  <si>
    <t xml:space="preserve">Cement stock brick NFX</t>
  </si>
  <si>
    <t xml:space="preserve">R1,800-R3,000 per 1,000</t>
  </si>
  <si>
    <t xml:space="preserve">Clay face brick (PC)</t>
  </si>
  <si>
    <t xml:space="preserve">R3,500-R6,000 per 1,000</t>
  </si>
  <si>
    <t xml:space="preserve">Cement block 390x190x90</t>
  </si>
  <si>
    <t xml:space="preserve">Cement block 390x190x140</t>
  </si>
  <si>
    <t xml:space="preserve">Cement block 390x190x190</t>
  </si>
  <si>
    <t xml:space="preserve">Brickforce 150 mm</t>
  </si>
  <si>
    <t xml:space="preserve">Galvanised wire wall tie</t>
  </si>
  <si>
    <t xml:space="preserve">Embossed polyolefin DPC 375 mm</t>
  </si>
  <si>
    <t xml:space="preserve">Embossed polyolefin DPC 230 mm</t>
  </si>
  <si>
    <t xml:space="preserve">Galvanised hoop iron 30x1.6</t>
  </si>
  <si>
    <t xml:space="preserve">Roofing</t>
  </si>
  <si>
    <t xml:space="preserve">Engineered timber trusses incl hangers &amp; bracing, delivered (per m2 plan)</t>
  </si>
  <si>
    <t xml:space="preserve">Truss cost R250-R650/m2 excl covering (Complete Roofing 2026)</t>
  </si>
  <si>
    <t xml:space="preserve">SA pine S5 38x114</t>
  </si>
  <si>
    <t xml:space="preserve">TIM152</t>
  </si>
  <si>
    <t xml:space="preserve">SA pine S5 38x152</t>
  </si>
  <si>
    <t xml:space="preserve">SA pine batten / brandering 38x38</t>
  </si>
  <si>
    <t xml:space="preserve">Concrete roof tiles incl 5% cuts allowance</t>
  </si>
  <si>
    <t xml:space="preserve">Clay roof tiles</t>
  </si>
  <si>
    <t xml:space="preserve">Roof underlay (breathable)</t>
  </si>
  <si>
    <t xml:space="preserve">IBR 0.50 mm pre-painted (Chromadek), per m2 cover</t>
  </si>
  <si>
    <t xml:space="preserve">IBR 0.47 mm Zincalume, per m2 cover</t>
  </si>
  <si>
    <t xml:space="preserve">Corrugated 0.50 mm galvanised, per m2 cover</t>
  </si>
  <si>
    <t xml:space="preserve">Lipped channel purlin 100x50x20x2.0</t>
  </si>
  <si>
    <t xml:space="preserve">Concrete ridge / hip tile</t>
  </si>
  <si>
    <t xml:space="preserve">Fibre-cement fascia / barge 225 mm</t>
  </si>
  <si>
    <t xml:space="preserve">Supply &amp; fix subcontract</t>
  </si>
  <si>
    <t xml:space="preserve">Aluminium downpipe 75 mm</t>
  </si>
  <si>
    <t xml:space="preserve">Reflective foil / sisalation</t>
  </si>
  <si>
    <t xml:space="preserve">Thatch 200 mm incl poles &amp; SANS fire treatment — installed</t>
  </si>
  <si>
    <t xml:space="preserve">R500-R800 base, premium to R2,000 (2026)</t>
  </si>
  <si>
    <t xml:space="preserve">Polycarbonate sheeting 10 mm multiwall</t>
  </si>
  <si>
    <t xml:space="preserve">Joinery</t>
  </si>
  <si>
    <t xml:space="preserve">Hollow-core flush door 813x2032</t>
  </si>
  <si>
    <t xml:space="preserve">Semi-solid door 813x2032</t>
  </si>
  <si>
    <t xml:space="preserve">Solid meranti external door</t>
  </si>
  <si>
    <t xml:space="preserve">Steel butt hinges 100 mm</t>
  </si>
  <si>
    <t xml:space="preserve">pair</t>
  </si>
  <si>
    <t xml:space="preserve">Pressed steel door frame 813</t>
  </si>
  <si>
    <t xml:space="preserve">Hardwood external door frame</t>
  </si>
  <si>
    <t xml:space="preserve">Ironmongery</t>
  </si>
  <si>
    <t xml:space="preserve">Cylinder lockset external</t>
  </si>
  <si>
    <t xml:space="preserve">Pine skirting 69 mm</t>
  </si>
  <si>
    <t xml:space="preserve">Built-in cupboards melamine full height — installed</t>
  </si>
  <si>
    <t xml:space="preserve">Per m run</t>
  </si>
  <si>
    <t xml:space="preserve">Granite / quartz worktop 600 deep — installed</t>
  </si>
  <si>
    <t xml:space="preserve">Windows &amp; doors</t>
  </si>
  <si>
    <t xml:space="preserve">Standard steel window incl glazing</t>
  </si>
  <si>
    <t xml:space="preserve">Aluminium casement, powder-coated, glazed</t>
  </si>
  <si>
    <t xml:space="preserve">Aluminium sliding door, safety glass</t>
  </si>
  <si>
    <t xml:space="preserve">Aluminium hinged / French door, safety glass</t>
  </si>
  <si>
    <t xml:space="preserve">uPVC window, glazed</t>
  </si>
  <si>
    <t xml:space="preserve">Meranti timber window, glazed</t>
  </si>
  <si>
    <t xml:space="preserve">Mild steel burglar bars, primed</t>
  </si>
  <si>
    <t xml:space="preserve">Trellis security gate</t>
  </si>
  <si>
    <t xml:space="preserve">Sectional garage door 2.5x2.1 — installed</t>
  </si>
  <si>
    <t xml:space="preserve">Ceilings &amp; partitions</t>
  </si>
  <si>
    <t xml:space="preserve">Gypsum board 6.4 mm</t>
  </si>
  <si>
    <t xml:space="preserve">Gypsum board 9.5 mm</t>
  </si>
  <si>
    <t xml:space="preserve">Gypsum board 12.5 mm</t>
  </si>
  <si>
    <t xml:space="preserve">Fire-rated gypsum board 15 mm</t>
  </si>
  <si>
    <t xml:space="preserve">Suspended 600x600 exposed grid + mineral tiles</t>
  </si>
  <si>
    <t xml:space="preserve">Concealed metal furring grid</t>
  </si>
  <si>
    <t xml:space="preserve">Fibre-cement board 6 mm (eaves)</t>
  </si>
  <si>
    <t xml:space="preserve">Steel stud &amp; track 76 mm @ 600 crs</t>
  </si>
  <si>
    <t xml:space="preserve">Plaster</t>
  </si>
  <si>
    <t xml:space="preserve">Gypsum skim plaster, 40 kg bag</t>
  </si>
  <si>
    <t xml:space="preserve">Floor finishes</t>
  </si>
  <si>
    <t xml:space="preserve">Carpet tiles</t>
  </si>
  <si>
    <t xml:space="preserve">Broadloom carpet incl underfelt</t>
  </si>
  <si>
    <t xml:space="preserve">Laminated flooring 8 mm</t>
  </si>
  <si>
    <t xml:space="preserve">Foam underlay</t>
  </si>
  <si>
    <t xml:space="preserve">Engineered timber flooring</t>
  </si>
  <si>
    <t xml:space="preserve">Tiling</t>
  </si>
  <si>
    <t xml:space="preserve">Ceramic floor tile (PC)</t>
  </si>
  <si>
    <t xml:space="preserve">Prime cost — adjust to client selection</t>
  </si>
  <si>
    <t xml:space="preserve">Porcelain floor tile 600x600 (PC)</t>
  </si>
  <si>
    <t xml:space="preserve">Prime cost</t>
  </si>
  <si>
    <t xml:space="preserve">Ceramic wall tile (PC)</t>
  </si>
  <si>
    <t xml:space="preserve">Large-format porcelain 600x1200 (PC)</t>
  </si>
  <si>
    <t xml:space="preserve">Mosaic tile on mesh (PC)</t>
  </si>
  <si>
    <t xml:space="preserve">Natural slate / stone paving (PC)</t>
  </si>
  <si>
    <t xml:space="preserve">Tile adhesive, 20 kg bag</t>
  </si>
  <si>
    <t xml:space="preserve">Tile grout, 5 kg bag</t>
  </si>
  <si>
    <t xml:space="preserve">Plumbing &amp; drainage</t>
  </si>
  <si>
    <t xml:space="preserve">uPVC SN4 drain pipe 110 mm</t>
  </si>
  <si>
    <t xml:space="preserve">uPVC SN4 drain pipe 160 mm</t>
  </si>
  <si>
    <t xml:space="preserve">uPVC waste pipe 50 mm</t>
  </si>
  <si>
    <t xml:space="preserve">uPVC waste pipe 40 mm</t>
  </si>
  <si>
    <t xml:space="preserve">Copper tube 22 mm Class 0</t>
  </si>
  <si>
    <t xml:space="preserve">Copper tube 15 mm Class 0</t>
  </si>
  <si>
    <t xml:space="preserve">Multilayer PEX-AL-PEX 16 mm</t>
  </si>
  <si>
    <t xml:space="preserve">HDPE Class 12 service pipe 25 mm</t>
  </si>
  <si>
    <t xml:space="preserve">Manhole cover &amp; frame (medium duty)</t>
  </si>
  <si>
    <t xml:space="preserve">Gully head with grid</t>
  </si>
  <si>
    <t xml:space="preserve">Sanitaryware</t>
  </si>
  <si>
    <t xml:space="preserve">Close-coupled WC suite (PC)</t>
  </si>
  <si>
    <t xml:space="preserve">Wash basin + pedestal (PC)</t>
  </si>
  <si>
    <t xml:space="preserve">Basin mixer + waste</t>
  </si>
  <si>
    <t xml:space="preserve">Acrylic bath 1700 (PC)</t>
  </si>
  <si>
    <t xml:space="preserve">Bath mixer + waste</t>
  </si>
  <si>
    <t xml:space="preserve">Shower mixer, rose, arm &amp; waste</t>
  </si>
  <si>
    <t xml:space="preserve">Frameless shower screen/door — installed</t>
  </si>
  <si>
    <t xml:space="preserve">Stainless double-bowl sink</t>
  </si>
  <si>
    <t xml:space="preserve">Sink mixer + waste</t>
  </si>
  <si>
    <t xml:space="preserve">Hot water</t>
  </si>
  <si>
    <t xml:space="preserve">Electric geyser 150 L 3 kW (SANS 151)</t>
  </si>
  <si>
    <t xml:space="preserve">Electric geyser 200 L 4 kW</t>
  </si>
  <si>
    <t xml:space="preserve">Geyser kit: drip tray, PRV, T&amp;P, vacuum breakers, pipework (SANS 10254)</t>
  </si>
  <si>
    <t xml:space="preserve">Heat pump retrofit — installed</t>
  </si>
  <si>
    <t xml:space="preserve">5,000 L rainwater tank</t>
  </si>
  <si>
    <t xml:space="preserve">Garden tap + fittings</t>
  </si>
  <si>
    <t xml:space="preserve">Septic tank 2,500 L (precast / poly)</t>
  </si>
  <si>
    <t xml:space="preserve">Electrical</t>
  </si>
  <si>
    <t xml:space="preserve">Light point materials: conduit, 1.5 mm wiring, box, switch</t>
  </si>
  <si>
    <t xml:space="preserve">Socket outlet materials: conduit, 2.5 mm wiring, box, double socket</t>
  </si>
  <si>
    <t xml:space="preserve">Stove circuit: 6 mm cable, isolator, CB</t>
  </si>
  <si>
    <t xml:space="preserve">Geyser circuit: 4 mm cable, isolator, timer, CB</t>
  </si>
  <si>
    <t xml:space="preserve">12-way DB board fully equipped incl earth leakage &amp; SPD</t>
  </si>
  <si>
    <t xml:space="preserve">16 mm2 4-core SWA cable</t>
  </si>
  <si>
    <t xml:space="preserve">Earth spike, clamp &amp; bonding</t>
  </si>
  <si>
    <t xml:space="preserve">External wall light IP65</t>
  </si>
  <si>
    <t xml:space="preserve">Data / TV point materials</t>
  </si>
  <si>
    <t xml:space="preserve">Bathroom extractor fan</t>
  </si>
  <si>
    <t xml:space="preserve">LED downlight</t>
  </si>
  <si>
    <t xml:space="preserve">LED batten / ceiling fitting</t>
  </si>
  <si>
    <t xml:space="preserve">5 kW hybrid inverter + 10 kWh LiFePO4 + panels, SSEG-compliant — installed</t>
  </si>
  <si>
    <t xml:space="preserve">Mechanical</t>
  </si>
  <si>
    <t xml:space="preserve">Split AC 12,000 BTU inverter — installed</t>
  </si>
  <si>
    <t xml:space="preserve">AECOM residential split R1,350-R2,100/m2 GFA</t>
  </si>
  <si>
    <t xml:space="preserve">Split AC 18,000 BTU inverter — installed</t>
  </si>
  <si>
    <t xml:space="preserve">Split AC 24,000 BTU inverter — installed</t>
  </si>
  <si>
    <t xml:space="preserve">Security</t>
  </si>
  <si>
    <t xml:space="preserve">Electric fence 6-strand wall-top — installed</t>
  </si>
  <si>
    <t xml:space="preserve">4-camera CCTV system — installed</t>
  </si>
  <si>
    <t xml:space="preserve">6-zone alarm system — installed</t>
  </si>
  <si>
    <t xml:space="preserve">Structural steel</t>
  </si>
  <si>
    <t xml:space="preserve">Structural steel, fabricated &amp; primed, delivered</t>
  </si>
  <si>
    <t xml:space="preserve">Hot-dip galvanising extra</t>
  </si>
  <si>
    <t xml:space="preserve">Holding-down bolt set M16</t>
  </si>
  <si>
    <t xml:space="preserve">Metalwork</t>
  </si>
  <si>
    <t xml:space="preserve">Mild steel balustrade, fabricated</t>
  </si>
  <si>
    <t xml:space="preserve">Intumescent coating 60 min (materials)</t>
  </si>
  <si>
    <t xml:space="preserve">Paint</t>
  </si>
  <si>
    <t xml:space="preserve">Plaster primer (20 L = R1,100)</t>
  </si>
  <si>
    <t xml:space="preserve">L</t>
  </si>
  <si>
    <t xml:space="preserve">Consumer 20 L tins</t>
  </si>
  <si>
    <t xml:space="preserve">Interior PVA mid-range</t>
  </si>
  <si>
    <t xml:space="preserve">Exterior acrylic</t>
  </si>
  <si>
    <t xml:space="preserve">Elastomeric exterior coating</t>
  </si>
  <si>
    <t xml:space="preserve">Universal undercoat</t>
  </si>
  <si>
    <t xml:space="preserve">Alkyd enamel</t>
  </si>
  <si>
    <t xml:space="preserve">Metal primer (red oxide / zinc)</t>
  </si>
  <si>
    <t xml:space="preserve">Timber varnish / sealer</t>
  </si>
  <si>
    <t xml:space="preserve">Roof paint</t>
  </si>
  <si>
    <t xml:space="preserve">Aluminium reflective roof coating</t>
  </si>
  <si>
    <t xml:space="preserve">Waterproofing</t>
  </si>
  <si>
    <t xml:space="preserve">4 mm APP torch-on membrane</t>
  </si>
  <si>
    <t xml:space="preserve">Bitumen primer</t>
  </si>
  <si>
    <t xml:space="preserve">Liquid acrylic waterproofing system incl membrane (3 coats)</t>
  </si>
  <si>
    <t xml:space="preserve">Cementitious waterproofing (2 coats)</t>
  </si>
  <si>
    <t xml:space="preserve">Glazing</t>
  </si>
  <si>
    <t xml:space="preserve">4 mm clear float glass</t>
  </si>
  <si>
    <t xml:space="preserve">6 mm mirror, polished edges</t>
  </si>
  <si>
    <t xml:space="preserve">External works</t>
  </si>
  <si>
    <t xml:space="preserve">Interlocking concrete paver 80 mm</t>
  </si>
  <si>
    <t xml:space="preserve">Interlocking concrete paver 60 mm</t>
  </si>
  <si>
    <t xml:space="preserve">Clay paver</t>
  </si>
  <si>
    <t xml:space="preserve">Precast barrier / FB kerb</t>
  </si>
  <si>
    <t xml:space="preserve">Precast channel</t>
  </si>
  <si>
    <t xml:space="preserve">30 mm asphalt incl prime — installed (small works)</t>
  </si>
  <si>
    <t xml:space="preserve">Galvanised palisade 1.8 m incl posts — installed</t>
  </si>
  <si>
    <t xml:space="preserve">358 anti-climb mesh 2.4 m — installed</t>
  </si>
  <si>
    <t xml:space="preserve">Precast concrete panel wall 1.8 m — installed</t>
  </si>
  <si>
    <t xml:space="preserve">Diamond mesh 1.8 m + galvanised posts (materials)</t>
  </si>
  <si>
    <t xml:space="preserve">Steel sliding gate 4 m incl motor — installed</t>
  </si>
  <si>
    <t xml:space="preserve">Steel pedestrian gate, fabricated</t>
  </si>
  <si>
    <t xml:space="preserve">Instant lawn (kikuyu / buffalo)</t>
  </si>
  <si>
    <t xml:space="preserve">Concrete retaining block (Terraforce-type)</t>
  </si>
  <si>
    <t xml:space="preserve">Fire</t>
  </si>
  <si>
    <t xml:space="preserve">Fire hose reel 30 m (SANS 543)</t>
  </si>
  <si>
    <t xml:space="preserve">Grade / trade</t>
  </si>
  <si>
    <t xml:space="preserve">Basic wage R/hr</t>
  </si>
  <si>
    <t xml:space="preserve">Source</t>
  </si>
  <si>
    <t xml:space="preserve">On-cost %</t>
  </si>
  <si>
    <t xml:space="preserve">All-in R/hr</t>
  </si>
  <si>
    <t xml:space="preserve">All-in R/day (9 h)</t>
  </si>
  <si>
    <t xml:space="preserve">L01</t>
  </si>
  <si>
    <t xml:space="preserve">Labourer</t>
  </si>
  <si>
    <t xml:space="preserve">PUBLISHED</t>
  </si>
  <si>
    <t xml:space="preserve">Cape Building Industry Bargaining Council main agreement, cl.18 (to 31 Oct 2026); BCCEI Grade 1 R41.72</t>
  </si>
  <si>
    <t xml:space="preserve">L02</t>
  </si>
  <si>
    <t xml:space="preserve">General worker (semi-skilled)</t>
  </si>
  <si>
    <t xml:space="preserve">Cape BIBC cl.18</t>
  </si>
  <si>
    <t xml:space="preserve">L03</t>
  </si>
  <si>
    <t xml:space="preserve">Tradesman Class 4</t>
  </si>
  <si>
    <t xml:space="preserve">L04</t>
  </si>
  <si>
    <t xml:space="preserve">Tradesman Class 3 (painter, paver, waterproofer)</t>
  </si>
  <si>
    <t xml:space="preserve">L05</t>
  </si>
  <si>
    <t xml:space="preserve">Tradesman Class 2 (bricklayer, plasterer, tiler, shutterhand)</t>
  </si>
  <si>
    <t xml:space="preserve">L06</t>
  </si>
  <si>
    <t xml:space="preserve">Artisan (qualified carpenter / joiner / welder)</t>
  </si>
  <si>
    <t xml:space="preserve">L07</t>
  </si>
  <si>
    <t xml:space="preserve">Plant operator / driver Code C1</t>
  </si>
  <si>
    <t xml:space="preserve">L08</t>
  </si>
  <si>
    <t xml:space="preserve">Driver Code B</t>
  </si>
  <si>
    <t xml:space="preserve">L09</t>
  </si>
  <si>
    <t xml:space="preserve">Electrician (registered, can issue COC)</t>
  </si>
  <si>
    <t xml:space="preserve">Market employed rate, 2026</t>
  </si>
  <si>
    <t xml:space="preserve">L10</t>
  </si>
  <si>
    <t xml:space="preserve">Plumber (PIRB registered)</t>
  </si>
  <si>
    <t xml:space="preserve">L11</t>
  </si>
  <si>
    <t xml:space="preserve">Site foreman</t>
  </si>
  <si>
    <t xml:space="preserve">Market, small-medium builder</t>
  </si>
  <si>
    <t xml:space="preserve">L12</t>
  </si>
  <si>
    <t xml:space="preserve">Site agent / contracts manager</t>
  </si>
  <si>
    <t xml:space="preserve">Reference: National Minimum Wage R30.23/hr from 1 March 2026 (GN R.7083, Gazette 54075). Bargaining council minima above sit higher and apply to formal building employers.</t>
  </si>
  <si>
    <t xml:space="preserve">Security guard (Cape BIBC) R495.34 per day basic — used in Preliminaries.</t>
  </si>
  <si>
    <t xml:space="preserve">Composition</t>
  </si>
  <si>
    <t xml:space="preserve">R per gang-hour</t>
  </si>
  <si>
    <t xml:space="preserve">1 x L01</t>
  </si>
  <si>
    <t xml:space="preserve">Semi-skilled general worker</t>
  </si>
  <si>
    <t xml:space="preserve">1 x L02</t>
  </si>
  <si>
    <t xml:space="preserve">Demolition / strip-out gang</t>
  </si>
  <si>
    <t xml:space="preserve">1 x L02 + 2 x L01</t>
  </si>
  <si>
    <t xml:space="preserve">Bricklayer + attendant</t>
  </si>
  <si>
    <t xml:space="preserve">1 x L05 + 1 x L01</t>
  </si>
  <si>
    <t xml:space="preserve">Face-brick artisan + attendant</t>
  </si>
  <si>
    <t xml:space="preserve">1 x L06 + 1 x L01</t>
  </si>
  <si>
    <t xml:space="preserve">Concrete gang</t>
  </si>
  <si>
    <t xml:space="preserve">1 x L05 + 1 x L02 + 2 x L01</t>
  </si>
  <si>
    <t xml:space="preserve">Shutterhand + labourer</t>
  </si>
  <si>
    <t xml:space="preserve">Steel fixer + labourer</t>
  </si>
  <si>
    <t xml:space="preserve">Carpenter + labourer</t>
  </si>
  <si>
    <t xml:space="preserve">Joiner</t>
  </si>
  <si>
    <t xml:space="preserve">1 x L06</t>
  </si>
  <si>
    <t xml:space="preserve">Roofer + labourer</t>
  </si>
  <si>
    <t xml:space="preserve">Plasterer + labourer</t>
  </si>
  <si>
    <t xml:space="preserve">Screeder / finisher + labourer</t>
  </si>
  <si>
    <t xml:space="preserve">Tiler + half labourer</t>
  </si>
  <si>
    <t xml:space="preserve">1 x L05 + 0.5 x L01</t>
  </si>
  <si>
    <t xml:space="preserve">Ceiling / drywall fixer + half worker</t>
  </si>
  <si>
    <t xml:space="preserve">1 x L05 + 0.5 x L02</t>
  </si>
  <si>
    <t xml:space="preserve">Painter</t>
  </si>
  <si>
    <t xml:space="preserve">1 x L04</t>
  </si>
  <si>
    <t xml:space="preserve">Waterproofer + labourer</t>
  </si>
  <si>
    <t xml:space="preserve">1 x L04 + 1 x L01</t>
  </si>
  <si>
    <t xml:space="preserve">Glazier / fixer</t>
  </si>
  <si>
    <t xml:space="preserve">1 x L05</t>
  </si>
  <si>
    <t xml:space="preserve">Steel erector gang</t>
  </si>
  <si>
    <t xml:space="preserve">1 x L06 + 1 x L02 + 1 x L01</t>
  </si>
  <si>
    <t xml:space="preserve">Plumber + labourer</t>
  </si>
  <si>
    <t xml:space="preserve">1 x L10 + 1 x L01</t>
  </si>
  <si>
    <t xml:space="preserve">Electrician + assistant</t>
  </si>
  <si>
    <t xml:space="preserve">1 x L09 + 1 x L02</t>
  </si>
  <si>
    <t xml:space="preserve">Paving gang</t>
  </si>
  <si>
    <t xml:space="preserve">1 x L04 + 2 x L01</t>
  </si>
  <si>
    <t xml:space="preserve">1 x L11</t>
  </si>
  <si>
    <t xml:space="preserve">Site agent</t>
  </si>
  <si>
    <t xml:space="preserve">1 x L12</t>
  </si>
  <si>
    <t xml:space="preserve">Rate ex VAT (R)</t>
  </si>
  <si>
    <t xml:space="preserve">TLB with operator &amp; fuel</t>
  </si>
  <si>
    <t xml:space="preserve">hr</t>
  </si>
  <si>
    <t xml:space="preserve">20 t excavator with operator &amp; fuel</t>
  </si>
  <si>
    <t xml:space="preserve">Compressor + jackhammer / breaker</t>
  </si>
  <si>
    <t xml:space="preserve">Plate compactor</t>
  </si>
  <si>
    <t xml:space="preserve">P-ROLLER</t>
  </si>
  <si>
    <t xml:space="preserve">1 t vibratory roller</t>
  </si>
  <si>
    <t xml:space="preserve">Poker vibrator</t>
  </si>
  <si>
    <t xml:space="preserve">150 L concrete mixer</t>
  </si>
  <si>
    <t xml:space="preserve">Power float</t>
  </si>
  <si>
    <t xml:space="preserve">Floor saw</t>
  </si>
  <si>
    <t xml:space="preserve">Floor grinder</t>
  </si>
  <si>
    <t xml:space="preserve">Concrete pump (per m3 pumped)</t>
  </si>
  <si>
    <t xml:space="preserve">Props &amp; soffit formwork hire per pour (3 weeks)</t>
  </si>
  <si>
    <t xml:space="preserve">Dewatering pump</t>
  </si>
  <si>
    <t xml:space="preserve">6 m3 skip incl delivery, removal &amp; tip fee</t>
  </si>
  <si>
    <t xml:space="preserve">Load &amp; cart rubble to licensed tip incl fees</t>
  </si>
  <si>
    <t xml:space="preserve">Load &amp; cart surplus soil &lt;= 10 km (bulked m3)</t>
  </si>
  <si>
    <t xml:space="preserve">Site office / store container 6 m</t>
  </si>
  <si>
    <t xml:space="preserve">wk</t>
  </si>
  <si>
    <t xml:space="preserve">Chemical toilet incl weekly service</t>
  </si>
  <si>
    <t xml:space="preserve">Temporary site fencing</t>
  </si>
  <si>
    <t xml:space="preserve">25 t mobile crane with operator</t>
  </si>
  <si>
    <t xml:space="preserve">Region</t>
  </si>
  <si>
    <t xml:space="preserve">Factor</t>
  </si>
  <si>
    <t xml:space="preserve">Basis / note</t>
  </si>
  <si>
    <t xml:space="preserve">Base — AECOM rates are Gauteng-based.</t>
  </si>
  <si>
    <t xml:space="preserve">Western Cape - Cape Town metro &amp; Winelands</t>
  </si>
  <si>
    <t xml:space="preserve">AECOM: WC and KZN upper-class residential significantly above Gauteng. QS ESTIMATE.</t>
  </si>
  <si>
    <t xml:space="preserve">Western Cape - Garden Route / other</t>
  </si>
  <si>
    <t xml:space="preserve">QS ESTIMATE.</t>
  </si>
  <si>
    <t xml:space="preserve">KwaZulu-Natal - Durban / Umhlanga / Ballito</t>
  </si>
  <si>
    <t xml:space="preserve">AECOM regional note. QS ESTIMATE.</t>
  </si>
  <si>
    <t xml:space="preserve">KwaZulu-Natal - inland / other</t>
  </si>
  <si>
    <t xml:space="preserve">Eastern Cape - Gqeberha / East London metros</t>
  </si>
  <si>
    <t xml:space="preserve">Lower labour cost, comparable materials. QS ESTIMATE.</t>
  </si>
  <si>
    <t xml:space="preserve">Eastern Cape - rural (Transkei / Karoo interior)</t>
  </si>
  <si>
    <t xml:space="preserve">Lower labour offset by haulage, no readymix, supervision travel. QS ESTIMATE.</t>
  </si>
  <si>
    <t xml:space="preserve">Free State - Bloemfontein</t>
  </si>
  <si>
    <t xml:space="preserve">Free State - rural</t>
  </si>
  <si>
    <t xml:space="preserve">Mpumalanga - Mbombela / Emalahleni</t>
  </si>
  <si>
    <t xml:space="preserve">Limpopo - Polokwane</t>
  </si>
  <si>
    <t xml:space="preserve">Limpopo - rural / remote</t>
  </si>
  <si>
    <t xml:space="preserve">North West - Rustenburg / Mahikeng</t>
  </si>
  <si>
    <t xml:space="preserve">Northern Cape - Kimberley</t>
  </si>
  <si>
    <t xml:space="preserve">Northern Cape - remote (Upington / Springbok)</t>
  </si>
  <si>
    <t xml:space="preserve">Long-haul materials. QS ESTIMATE.</t>
  </si>
  <si>
    <t xml:space="preserve">ELEMENTAL / ORDER-OF-MAGNITUDE BENCHMARKS (R/m2 construction area, ex VAT)</t>
  </si>
  <si>
    <t xml:space="preserve">Source: AECOM Africa Property &amp; Construction Cost Guide 2025/26 pp.55-63 (rates at 1 July 2025, Gauteng). Include appropriate building services; exclude site infrastructure, parking (unless listed), escalation, professional fees and VAT. Escalated and region-adjusted by formula.</t>
  </si>
  <si>
    <t xml:space="preserve">Building type</t>
  </si>
  <si>
    <t xml:space="preserve">AECOM low (Jul 2025)</t>
  </si>
  <si>
    <t xml:space="preserve">AECOM high (Jul 2025)</t>
  </si>
  <si>
    <t xml:space="preserve">Low — Sep 2026, region</t>
  </si>
  <si>
    <t xml:space="preserve">High — Sep 2026, region</t>
  </si>
  <si>
    <t xml:space="preserve">Mid — Sep 2026, region</t>
  </si>
  <si>
    <t xml:space="preserve">RESIDENTIAL</t>
  </si>
  <si>
    <t xml:space="preserve">RDP housing</t>
  </si>
  <si>
    <t xml:space="preserve">Low-cost housing</t>
  </si>
  <si>
    <t xml:space="preserve">Private dwelling — economic</t>
  </si>
  <si>
    <t xml:space="preserve">Private dwelling — standard</t>
  </si>
  <si>
    <t xml:space="preserve">Private dwelling — middle-class</t>
  </si>
  <si>
    <t xml:space="preserve">Private dwelling — luxury</t>
  </si>
  <si>
    <t xml:space="preserve">Private dwelling — exclusive</t>
  </si>
  <si>
    <t xml:space="preserve">Private dwelling — super luxury</t>
  </si>
  <si>
    <t xml:space="preserve">Outbuildings — standard</t>
  </si>
  <si>
    <t xml:space="preserve">Outbuildings — luxury</t>
  </si>
  <si>
    <t xml:space="preserve">Simple low-rise apartment block</t>
  </si>
  <si>
    <t xml:space="preserve">Duplex townhouse — economic</t>
  </si>
  <si>
    <t xml:space="preserve">Prestige apartment block</t>
  </si>
  <si>
    <t xml:space="preserve">Student residential high-rise (incl FF&amp;E)</t>
  </si>
  <si>
    <t xml:space="preserve">Retirement — dwelling, middle-class</t>
  </si>
  <si>
    <t xml:space="preserve">Retirement — apartment, middle-class</t>
  </si>
  <si>
    <t xml:space="preserve">Retirement — frail care</t>
  </si>
  <si>
    <t xml:space="preserve">Site services to low-cost stand (250-350 m2)</t>
  </si>
  <si>
    <t xml:space="preserve">site</t>
  </si>
  <si>
    <t xml:space="preserve">Carport shaded — single</t>
  </si>
  <si>
    <t xml:space="preserve">Carport shaded — double</t>
  </si>
  <si>
    <t xml:space="preserve">Carport covered — single</t>
  </si>
  <si>
    <t xml:space="preserve">Carport covered — double</t>
  </si>
  <si>
    <t xml:space="preserve">Swimming pool &lt;= 50 kl</t>
  </si>
  <si>
    <t xml:space="preserve">Swimming pool 50-100 kl</t>
  </si>
  <si>
    <t xml:space="preserve">Tennis court — standard</t>
  </si>
  <si>
    <t xml:space="preserve">COMMERCIAL / RETAIL</t>
  </si>
  <si>
    <t xml:space="preserve">Low-rise office park, standard</t>
  </si>
  <si>
    <t xml:space="preserve">Low-rise office park, prestige</t>
  </si>
  <si>
    <t xml:space="preserve">High-rise office, standard</t>
  </si>
  <si>
    <t xml:space="preserve">High-rise office, prestige</t>
  </si>
  <si>
    <t xml:space="preserve">Local convenience centre &lt;= 5,000 m2</t>
  </si>
  <si>
    <t xml:space="preserve">Neighbourhood centre 5,000-12,000 m2</t>
  </si>
  <si>
    <t xml:space="preserve">Community centre 12,000-25,000 m2</t>
  </si>
  <si>
    <t xml:space="preserve">Studios (dance, art exhibition)</t>
  </si>
  <si>
    <t xml:space="preserve">Conference centre, international standard</t>
  </si>
  <si>
    <t xml:space="preserve">INDUSTRIAL</t>
  </si>
  <si>
    <t xml:space="preserve">Warehouse, steel frame &amp; cladding (light duty)</t>
  </si>
  <si>
    <t xml:space="preserve">Warehouse, brick to ceiling + cladding (heavy duty)</t>
  </si>
  <si>
    <t xml:space="preserve">Admin offices / ablution / change block</t>
  </si>
  <si>
    <t xml:space="preserve">Cold storage</t>
  </si>
  <si>
    <t xml:space="preserve">PARKING</t>
  </si>
  <si>
    <t xml:space="preserve">Parking on grade incl landscaping</t>
  </si>
  <si>
    <t xml:space="preserve">Structured parking</t>
  </si>
  <si>
    <t xml:space="preserve">Semi-basement parking</t>
  </si>
  <si>
    <t xml:space="preserve">Basement parking</t>
  </si>
  <si>
    <t xml:space="preserve">SOCIAL</t>
  </si>
  <si>
    <t xml:space="preserve">Primary school</t>
  </si>
  <si>
    <t xml:space="preserve">Secondary school</t>
  </si>
  <si>
    <t xml:space="preserve">District hospital (excl FF&amp;E)</t>
  </si>
  <si>
    <t xml:space="preserve">Hotel — budget (incl FF&amp;E)</t>
  </si>
  <si>
    <t xml:space="preserve">key</t>
  </si>
  <si>
    <t xml:space="preserve">Hotel — 3-star (incl FF&amp;E)</t>
  </si>
  <si>
    <t xml:space="preserve">SERVICES (R/m2 GFA)</t>
  </si>
  <si>
    <t xml:space="preserve">Electrical — residential</t>
  </si>
  <si>
    <t xml:space="preserve">Electrical — offices standard</t>
  </si>
  <si>
    <t xml:space="preserve">Electronic (access, CCTV, fire detection, data) — residential</t>
  </si>
  <si>
    <t xml:space="preserve">Air-conditioning — residential split units</t>
  </si>
  <si>
    <t xml:space="preserve">Air-conditioning — offices split</t>
  </si>
  <si>
    <t xml:space="preserve">Sprinklers incl hydrants &amp; hose reels (offices)</t>
  </si>
  <si>
    <t xml:space="preserve">Benchmarks are the contractor's tender price (they include contractor OH&amp;P) — compare BOQ totals INCLUDING the 17% margin, ex VAT.</t>
  </si>
  <si>
    <t xml:space="preserve">BUILDING COST INDICES (Jan 2020 = 100)</t>
  </si>
  <si>
    <t xml:space="preserve">Source: AECOM Africa Property &amp; Construction Cost Guide 2025/26, Section 7 — BER (Stellenbosch) tender price index and Stats SA P0151 CPAP Work Group 181. 2026-2029 are forecasts.</t>
  </si>
  <si>
    <t xml:space="preserve">Year (Jan)</t>
  </si>
  <si>
    <t xml:space="preserve">BER tender index</t>
  </si>
  <si>
    <t xml:space="preserve">BER y-o-y</t>
  </si>
  <si>
    <t xml:space="preserve">CPAP WG181 index</t>
  </si>
  <si>
    <t xml:space="preserve">CPAP y-o-y</t>
  </si>
  <si>
    <t xml:space="preserve">Tender Market Indicator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</si>
  <si>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</si>
  <si>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</si>
  <si>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</si>
  <si>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</si>
  <si>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</si>
  <si>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</si>
  <si>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</si>
  <si>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</si>
  <si>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</si>
  <si>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</si>
  <si>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Escalation of AECOM 1 July 2025 benchmarks to library base date (Sep 2026)</t>
  </si>
  <si>
    <t xml:space="preserve">Jul 2025 -&gt; Jan 2026 (6 months at 2026 y-o-y)</t>
  </si>
  <si>
    <t xml:space="preserve">Jan 2026 -&gt; Sep 2026 (8 months at 2027 y-o-y)</t>
  </si>
  <si>
    <t xml:space="preserve">Factor AECOM Jul-2025 -&gt; Sep-2026</t>
  </si>
  <si>
    <t xml:space="preserve">CALIBRATION — library sell rates vs published 2026 SA market ranges</t>
  </si>
  <si>
    <t xml:space="preserve">Consumer guides quote builder prices that usually include higher OH&amp;P and sometimes VAT, so library sell rates (17% margin, ex VAT) are expected to sit low-to-mid in range.</t>
  </si>
  <si>
    <t xml:space="preserve">Item</t>
  </si>
  <si>
    <t xml:space="preserve">Compared</t>
  </si>
  <si>
    <t xml:space="preserve">Market low</t>
  </si>
  <si>
    <t xml:space="preserve">Market high</t>
  </si>
  <si>
    <t xml:space="preserve">Library sell</t>
  </si>
  <si>
    <t xml:space="preserve">Position</t>
  </si>
  <si>
    <t xml:space="preserve">Half-brick wall</t>
  </si>
  <si>
    <t xml:space="preserve">Labour only</t>
  </si>
  <si>
    <t xml:space="preserve">sapropertytools.co.za bricklaying calculator, June 2026</t>
  </si>
  <si>
    <t xml:space="preserve">One-brick wall</t>
  </si>
  <si>
    <t xml:space="preserve">sapropertytools.co.za, June 2026</t>
  </si>
  <si>
    <t xml:space="preserve">Floor tiling</t>
  </si>
  <si>
    <t xml:space="preserve">sapropertytools.co.za tiling calculator, June 2026</t>
  </si>
  <si>
    <t xml:space="preserve">Wall tiling</t>
  </si>
  <si>
    <t xml:space="preserve">Two-coat internal plaster</t>
  </si>
  <si>
    <t xml:space="preserve">sapropertytools.co.za plastering calculator, June 2026</t>
  </si>
  <si>
    <t xml:space="preserve">All-in</t>
  </si>
  <si>
    <t xml:space="preserve">sapropertytools.co.za plastering &amp; painting guide, July 2026</t>
  </si>
  <si>
    <t xml:space="preserve">Interior painting</t>
  </si>
  <si>
    <t xml:space="preserve">sapropertytools.co.za, July 2026</t>
  </si>
  <si>
    <t xml:space="preserve">Roof trusses excl covering</t>
  </si>
  <si>
    <t xml:space="preserve">completeroofing.co.za, Feb 2026</t>
  </si>
  <si>
    <t xml:space="preserve">Concrete tile covering</t>
  </si>
  <si>
    <t xml:space="preserve">thehandymanjohannesburg.co.za, 2026 (JHB, typically incl VAT)</t>
  </si>
  <si>
    <t xml:space="preserve">IBR sheeting covering</t>
  </si>
  <si>
    <t xml:space="preserve">servicelinksa.co.za, Mar 2026 (covering only)</t>
  </si>
  <si>
    <t xml:space="preserve">SOURCES</t>
  </si>
  <si>
    <t xml:space="preserve">AECOM Africa Property &amp; Construction Cost Guide 2025/26 (36th ed.) — SA building cost rates, services rates, BER/CPAP indices</t>
  </si>
  <si>
    <t xml:space="preserve">https://cdn.ymaws.com/www.asaqs.co.za/resource/resmgr/4_resources/free_resources/other_publications/aecom_africa_cost_guide_2025.pdf</t>
  </si>
  <si>
    <t xml:space="preserve">National Minimum Wage R30.23/hr from 1 March 2026 (GN R.7083, Gazette 54075)</t>
  </si>
  <si>
    <t xml:space="preserve">https://www.sanews.gov.za/south-africa/national-minimum-wage-rise-r3023-hour-march</t>
  </si>
  <si>
    <t xml:space="preserve">Bargaining Council for the Building Industry, Cape of Good Hope — Main Agreement cl.18 minimum wages (to 31 Oct 2026)</t>
  </si>
  <si>
    <t xml:space="preserve">https://www.acts.co.za/labour/r6498_18__minimum_basic_wages</t>
  </si>
  <si>
    <t xml:space="preserve">BCCEI Civil Engineering task-grade minimum wages (WageIndicator, 2026)</t>
  </si>
  <si>
    <t xml:space="preserve">https://wageindicator.org/en-za/work-in-south-africa/minimum-wage/6228-civil-engineering-sector</t>
  </si>
  <si>
    <t xml:space="preserve">SA Property Tools — 2026 bricklaying / tiling / plastering labour rate benchmarks</t>
  </si>
  <si>
    <t xml:space="preserve">https://sapropertytools.co.za/calculators/artisan/bricklaying-labour.html</t>
  </si>
  <si>
    <t xml:space="preserve">SA Property Tools — Plastering &amp; painting cost guide 2026</t>
  </si>
  <si>
    <t xml:space="preserve">https://sapropertytools.co.za/blog/plastering-painting-guide-sa.html</t>
  </si>
  <si>
    <t xml:space="preserve">Handyman Johannesburg — Building material prices 2026 (cement, sand, stone, readymix, bricks)</t>
  </si>
  <si>
    <t xml:space="preserve">https://www.thehandymanjohannesburg.co.za/building-material-prices/</t>
  </si>
  <si>
    <t xml:space="preserve">Complete Roofing — roof truss prices per m2 (2026)</t>
  </si>
  <si>
    <t xml:space="preserve">https://completeroofing.co.za/blog/roof-trusses-prices-per-m2/</t>
  </si>
  <si>
    <t xml:space="preserve">PPC mix guidance via South Africa Facts concrete calculator (Aug 2026)</t>
  </si>
  <si>
    <t xml:space="preserve">https://southafricafacts.co.za/concrete-mortar-calculator-south-africa/</t>
  </si>
  <si>
    <t xml:space="preserve">Stats SA P0151 Contract Price Adjustment Provisions indices (for escalation claims)</t>
  </si>
  <si>
    <t xml:space="preserve">https://www.statssa.gov.za</t>
  </si>
  <si>
    <t xml:space="preserve">ASAQS Standard System of Measuring Building Work (trade order used for descriptions)</t>
  </si>
  <si>
    <t xml:space="preserve">https://www.asaqs.co.za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</si>
</sst>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dd\ mmm\ yyyy"/>
    <numFmt numFmtId="167" formatCode="0.0%"/>
    <numFmt numFmtId="168" formatCode="0"/>
    <numFmt numFmtId="169" formatCode="0.0000"/>
    <numFmt numFmtId="170" formatCode="&quot;R &quot;#,##0.00;&quot;(R &quot;#,##0.00\);\-"/>
    <numFmt numFmtId="171" formatCode="&quot;R &quot;#,##0;&quot;(R 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A4D"/>
        <bgColor rgb="FF003366"/>
      </patternFill>
    </fill>
    <fill>
      <patternFill patternType="solid">
        <fgColor rgb="FFD9E2E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2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</row>
    <row r="17" customFormat="false" ht="23.8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2" t="s">
        <v>14</v>
      </c>
    </row>
    <row r="20" customFormat="false" ht="23.8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8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4" t="s">
        <v>21</v>
      </c>
    </row>
    <row r="3" customFormat="false" ht="15" hidden="false" customHeight="false" outlineLevel="0" collapsed="false">
      <c r="A3" s="5" t="s">
        <v>22</v>
      </c>
      <c r="B3" s="6" t="s">
        <v>23</v>
      </c>
      <c r="C3" s="7" t="s">
        <v>24</v>
      </c>
    </row>
    <row r="4" customFormat="false" ht="15" hidden="false" customHeight="false" outlineLevel="0" collapsed="false">
      <c r="A4" s="5" t="s">
        <v>25</v>
      </c>
      <c r="B4" s="8" t="n">
        <f aca="false">INDEX(Regions!$B:$B,MATCH(B3,Regions!$A:$A,0))</f>
        <v>1</v>
      </c>
      <c r="C4" s="7" t="s">
        <v>26</v>
      </c>
    </row>
    <row r="5" customFormat="false" ht="15" hidden="false" customHeight="false" outlineLevel="0" collapsed="false">
      <c r="A5" s="5" t="s">
        <v>27</v>
      </c>
      <c r="B5" s="9" t="n">
        <v>46266</v>
      </c>
      <c r="C5" s="7" t="s">
        <v>28</v>
      </c>
    </row>
    <row r="6" customFormat="false" ht="15" hidden="false" customHeight="false" outlineLevel="0" collapsed="false">
      <c r="A6" s="5" t="s">
        <v>29</v>
      </c>
      <c r="B6" s="9" t="n">
        <v>46266</v>
      </c>
      <c r="C6" s="7" t="s">
        <v>30</v>
      </c>
    </row>
    <row r="7" customFormat="false" ht="15" hidden="false" customHeight="false" outlineLevel="0" collapsed="false">
      <c r="A7" s="5" t="s">
        <v>31</v>
      </c>
      <c r="B7" s="10" t="n">
        <v>0.047</v>
      </c>
      <c r="C7" s="7" t="s">
        <v>32</v>
      </c>
    </row>
    <row r="8" customFormat="false" ht="15" hidden="false" customHeight="false" outlineLevel="0" collapsed="false">
      <c r="A8" s="5" t="s">
        <v>33</v>
      </c>
      <c r="B8" s="11" t="n">
        <f aca="false">MAX(0,(YEAR(B6)-YEAR(B5))*12+MONTH(B6)-MONTH(B5))</f>
        <v>0</v>
      </c>
      <c r="C8" s="7" t="s">
        <v>34</v>
      </c>
    </row>
    <row r="9" customFormat="false" ht="15" hidden="false" customHeight="false" outlineLevel="0" collapsed="false">
      <c r="A9" s="5" t="s">
        <v>35</v>
      </c>
      <c r="B9" s="12" t="n">
        <f aca="false">(1+B7)^(B8/12)</f>
        <v>1</v>
      </c>
      <c r="C9" s="7" t="s">
        <v>36</v>
      </c>
    </row>
    <row r="10" customFormat="false" ht="15" hidden="false" customHeight="false" outlineLevel="0" collapsed="false">
      <c r="A10" s="5" t="s">
        <v>37</v>
      </c>
      <c r="B10" s="10" t="n">
        <v>0.17</v>
      </c>
      <c r="C10" s="7" t="s">
        <v>38</v>
      </c>
    </row>
    <row r="11" customFormat="false" ht="15" hidden="false" customHeight="false" outlineLevel="0" collapsed="false">
      <c r="A11" s="13" t="s">
        <v>39</v>
      </c>
      <c r="B11" s="10" t="n">
        <v>0.15</v>
      </c>
      <c r="C11" s="7" t="s">
        <v>40</v>
      </c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5" t="s">
        <v>41</v>
      </c>
    </row>
    <row r="14" customFormat="false" ht="15" hidden="false" customHeight="false" outlineLevel="0" collapsed="false">
      <c r="A14" s="5" t="s">
        <v>42</v>
      </c>
      <c r="B14" s="10" t="n">
        <v>0.045</v>
      </c>
      <c r="C14" s="7" t="s">
        <v>43</v>
      </c>
    </row>
    <row r="15" customFormat="false" ht="15" hidden="false" customHeight="false" outlineLevel="0" collapsed="false">
      <c r="A15" s="5" t="s">
        <v>44</v>
      </c>
      <c r="B15" s="10" t="n">
        <v>0.14</v>
      </c>
      <c r="C15" s="7" t="s">
        <v>45</v>
      </c>
    </row>
    <row r="16" customFormat="false" ht="15" hidden="false" customHeight="false" outlineLevel="0" collapsed="false">
      <c r="A16" s="5" t="s">
        <v>46</v>
      </c>
      <c r="B16" s="10" t="n">
        <v>0.1</v>
      </c>
      <c r="C16" s="7" t="s">
        <v>47</v>
      </c>
    </row>
    <row r="17" customFormat="false" ht="15" hidden="false" customHeight="false" outlineLevel="0" collapsed="false">
      <c r="A17" s="13" t="s">
        <v>48</v>
      </c>
      <c r="B17" s="14" t="n">
        <f aca="false">SUM(B14:B16)</f>
        <v>0.285</v>
      </c>
      <c r="C17" s="7" t="s">
        <v>49</v>
      </c>
    </row>
  </sheetData>
  <dataValidations count="1">
    <dataValidation allowBlank="false" errorStyle="stop" operator="between" showDropDown="false" showErrorMessage="false" showInputMessage="false" sqref="B3" type="list">
      <formula1>Regions!$A$2:$A$16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2"/>
    <col collapsed="false" customWidth="true" hidden="false" outlineLevel="0" max="20" min="18" style="0" width="16"/>
  </cols>
  <sheetData>
    <row r="1" customFormat="false" ht="17.35" hidden="false" customHeight="false" outlineLevel="0" collapsed="false">
      <c r="A1" s="4" t="s">
        <v>50</v>
      </c>
    </row>
    <row r="2" customFormat="false" ht="15" hidden="false" customHeight="false" outlineLevel="0" collapsed="false">
      <c r="A2" s="15" t="str">
        <f aca="false">"Region: "&amp;Settings!$B$3&amp;"   |   Factor "&amp;TEXT(Settings!$B$4,"0.00")&amp;"   |   Escalation "&amp;TEXT(Settings!$B$9,"0.0000")&amp;"   |   Margin "&amp;TEXT(Settings!$B$10,"0%")&amp;"   |   All rates ex VAT"</f>
        <v>Region: Gauteng (Johannesburg / Pretoria / Midrand) - BASE   |   Factor 1.00   |   Escalation 1.0000   |   Margin 17%   |   All rates ex VAT</v>
      </c>
    </row>
    <row r="4" customFormat="false" ht="35.05" hidden="false" customHeight="false" outlineLevel="0" collapsed="false">
      <c r="A4" s="16" t="s">
        <v>51</v>
      </c>
      <c r="B4" s="16" t="s">
        <v>52</v>
      </c>
      <c r="C4" s="16" t="s">
        <v>53</v>
      </c>
      <c r="D4" s="16" t="s">
        <v>54</v>
      </c>
      <c r="E4" s="16" t="s">
        <v>55</v>
      </c>
      <c r="F4" s="16" t="s">
        <v>56</v>
      </c>
      <c r="G4" s="16" t="s">
        <v>57</v>
      </c>
      <c r="H4" s="16" t="s">
        <v>58</v>
      </c>
      <c r="I4" s="16" t="s">
        <v>59</v>
      </c>
      <c r="J4" s="16" t="s">
        <v>60</v>
      </c>
      <c r="K4" s="16" t="s">
        <v>61</v>
      </c>
      <c r="L4" s="16" t="s">
        <v>62</v>
      </c>
      <c r="M4" s="16" t="s">
        <v>63</v>
      </c>
      <c r="N4" s="16" t="s">
        <v>64</v>
      </c>
      <c r="O4" s="16" t="s">
        <v>65</v>
      </c>
      <c r="P4" s="16" t="s">
        <v>66</v>
      </c>
      <c r="Q4" s="16" t="s">
        <v>67</v>
      </c>
      <c r="R4" s="16" t="s">
        <v>68</v>
      </c>
      <c r="S4" s="16" t="s">
        <v>69</v>
      </c>
      <c r="T4" s="16" t="s">
        <v>70</v>
      </c>
    </row>
    <row r="5" customFormat="false" ht="15" hidden="false" customHeight="false" outlineLevel="0" collapsed="false">
      <c r="A5" s="17" t="s">
        <v>71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customFormat="false" ht="23.85" hidden="false" customHeight="false" outlineLevel="0" collapsed="false">
      <c r="A6" s="19" t="s">
        <v>72</v>
      </c>
      <c r="B6" s="20" t="s">
        <v>73</v>
      </c>
      <c r="C6" s="19" t="s">
        <v>74</v>
      </c>
      <c r="D6" s="19" t="s">
        <v>75</v>
      </c>
      <c r="E6" s="21" t="n">
        <v>16</v>
      </c>
      <c r="F6" s="22" t="n">
        <f aca="false">IF(D6="",0,E6*INDEX(Gangs!$D:$D,MATCH(D6,Gangs!$A:$A,0)))</f>
        <v>849.7448</v>
      </c>
      <c r="G6" s="19"/>
      <c r="H6" s="21"/>
      <c r="I6" s="19"/>
      <c r="J6" s="21"/>
      <c r="K6" s="19"/>
      <c r="L6" s="21"/>
      <c r="M6" s="22" t="n">
        <f aca="false">IF(G6="",0,H6*INDEX(Materials!$E:$E,MATCH(G6,Materials!$A:$A,0)))+IF(I6="",0,J6*INDEX(Materials!$E:$E,MATCH(I6,Materials!$A:$A,0)))+IF(K6="",0,L6*INDEX(Materials!$E:$E,MATCH(K6,Materials!$A:$A,0)))</f>
        <v>0</v>
      </c>
      <c r="N6" s="23" t="n">
        <v>9500</v>
      </c>
      <c r="O6" s="19"/>
      <c r="P6" s="21"/>
      <c r="Q6" s="22" t="n">
        <f aca="false">IF(O6="",0,P6*INDEX(Plant!$D:$D,MATCH(O6,Plant!$A:$A,0)))</f>
        <v>0</v>
      </c>
      <c r="R6" s="24" t="n">
        <f aca="false">F6+M6+N6+Q6</f>
        <v>10349.7448</v>
      </c>
      <c r="S6" s="22" t="n">
        <f aca="false">R6*Settings!$B$4*Settings!$B$9</f>
        <v>10349.7448</v>
      </c>
      <c r="T6" s="24" t="n">
        <f aca="false">S6*(1+Settings!$B$10)</f>
        <v>12109.201416</v>
      </c>
    </row>
    <row r="7" customFormat="false" ht="15" hidden="false" customHeight="false" outlineLevel="0" collapsed="false">
      <c r="A7" s="19" t="s">
        <v>76</v>
      </c>
      <c r="B7" s="20" t="s">
        <v>77</v>
      </c>
      <c r="C7" s="19" t="s">
        <v>78</v>
      </c>
      <c r="D7" s="19" t="s">
        <v>79</v>
      </c>
      <c r="E7" s="21" t="n">
        <v>45</v>
      </c>
      <c r="F7" s="22" t="n">
        <f aca="false">IF(D7="",0,E7*INDEX(Gangs!$D:$D,MATCH(D7,Gangs!$A:$A,0)))</f>
        <v>8673.75</v>
      </c>
      <c r="G7" s="19"/>
      <c r="H7" s="21"/>
      <c r="I7" s="19"/>
      <c r="J7" s="21"/>
      <c r="K7" s="19"/>
      <c r="L7" s="21"/>
      <c r="M7" s="22" t="n">
        <f aca="false">IF(G7="",0,H7*INDEX(Materials!$E:$E,MATCH(G7,Materials!$A:$A,0)))+IF(I7="",0,J7*INDEX(Materials!$E:$E,MATCH(I7,Materials!$A:$A,0)))+IF(K7="",0,L7*INDEX(Materials!$E:$E,MATCH(K7,Materials!$A:$A,0)))</f>
        <v>0</v>
      </c>
      <c r="N7" s="23" t="n">
        <v>0</v>
      </c>
      <c r="O7" s="19"/>
      <c r="P7" s="21"/>
      <c r="Q7" s="22" t="n">
        <f aca="false">IF(O7="",0,P7*INDEX(Plant!$D:$D,MATCH(O7,Plant!$A:$A,0)))</f>
        <v>0</v>
      </c>
      <c r="R7" s="24" t="n">
        <f aca="false">F7+M7+N7+Q7</f>
        <v>8673.75</v>
      </c>
      <c r="S7" s="22" t="n">
        <f aca="false">R7*Settings!$B$4*Settings!$B$9</f>
        <v>8673.75</v>
      </c>
      <c r="T7" s="24" t="n">
        <f aca="false">S7*(1+Settings!$B$10)</f>
        <v>10148.2875</v>
      </c>
    </row>
    <row r="8" customFormat="false" ht="15" hidden="false" customHeight="false" outlineLevel="0" collapsed="false">
      <c r="A8" s="19" t="s">
        <v>80</v>
      </c>
      <c r="B8" s="20" t="s">
        <v>81</v>
      </c>
      <c r="C8" s="19" t="s">
        <v>78</v>
      </c>
      <c r="D8" s="19" t="s">
        <v>82</v>
      </c>
      <c r="E8" s="21" t="n">
        <v>9</v>
      </c>
      <c r="F8" s="22" t="n">
        <f aca="false">IF(D8="",0,E8*INDEX(Gangs!$D:$D,MATCH(D8,Gangs!$A:$A,0)))</f>
        <v>2775.6</v>
      </c>
      <c r="G8" s="19"/>
      <c r="H8" s="21"/>
      <c r="I8" s="19"/>
      <c r="J8" s="21"/>
      <c r="K8" s="19"/>
      <c r="L8" s="21"/>
      <c r="M8" s="22" t="n">
        <f aca="false">IF(G8="",0,H8*INDEX(Materials!$E:$E,MATCH(G8,Materials!$A:$A,0)))+IF(I8="",0,J8*INDEX(Materials!$E:$E,MATCH(I8,Materials!$A:$A,0)))+IF(K8="",0,L8*INDEX(Materials!$E:$E,MATCH(K8,Materials!$A:$A,0)))</f>
        <v>0</v>
      </c>
      <c r="N8" s="23" t="n">
        <v>0</v>
      </c>
      <c r="O8" s="19"/>
      <c r="P8" s="21"/>
      <c r="Q8" s="22" t="n">
        <f aca="false">IF(O8="",0,P8*INDEX(Plant!$D:$D,MATCH(O8,Plant!$A:$A,0)))</f>
        <v>0</v>
      </c>
      <c r="R8" s="24" t="n">
        <f aca="false">F8+M8+N8+Q8</f>
        <v>2775.6</v>
      </c>
      <c r="S8" s="22" t="n">
        <f aca="false">R8*Settings!$B$4*Settings!$B$9</f>
        <v>2775.6</v>
      </c>
      <c r="T8" s="24" t="n">
        <f aca="false">S8*(1+Settings!$B$10)</f>
        <v>3247.452</v>
      </c>
    </row>
    <row r="9" customFormat="false" ht="15" hidden="false" customHeight="false" outlineLevel="0" collapsed="false">
      <c r="A9" s="19" t="s">
        <v>83</v>
      </c>
      <c r="B9" s="20" t="s">
        <v>84</v>
      </c>
      <c r="C9" s="19" t="s">
        <v>78</v>
      </c>
      <c r="D9" s="19"/>
      <c r="E9" s="21"/>
      <c r="F9" s="22" t="n">
        <f aca="false">IF(D9="",0,E9*INDEX(Gangs!$D:$D,MATCH(D9,Gangs!$A:$A,0)))</f>
        <v>0</v>
      </c>
      <c r="G9" s="19"/>
      <c r="H9" s="21"/>
      <c r="I9" s="19"/>
      <c r="J9" s="21"/>
      <c r="K9" s="19"/>
      <c r="L9" s="21"/>
      <c r="M9" s="22" t="n">
        <f aca="false">IF(G9="",0,H9*INDEX(Materials!$E:$E,MATCH(G9,Materials!$A:$A,0)))+IF(I9="",0,J9*INDEX(Materials!$E:$E,MATCH(I9,Materials!$A:$A,0)))+IF(K9="",0,L9*INDEX(Materials!$E:$E,MATCH(K9,Materials!$A:$A,0)))</f>
        <v>0</v>
      </c>
      <c r="N9" s="23" t="n">
        <v>0</v>
      </c>
      <c r="O9" s="19" t="s">
        <v>85</v>
      </c>
      <c r="P9" s="21" t="n">
        <v>1</v>
      </c>
      <c r="Q9" s="22" t="n">
        <f aca="false">IF(O9="",0,P9*INDEX(Plant!$D:$D,MATCH(O9,Plant!$A:$A,0)))</f>
        <v>650</v>
      </c>
      <c r="R9" s="24" t="n">
        <f aca="false">F9+M9+N9+Q9</f>
        <v>650</v>
      </c>
      <c r="S9" s="22" t="n">
        <f aca="false">R9*Settings!$B$4*Settings!$B$9</f>
        <v>650</v>
      </c>
      <c r="T9" s="24" t="n">
        <f aca="false">S9*(1+Settings!$B$10)</f>
        <v>760.5</v>
      </c>
    </row>
    <row r="10" customFormat="false" ht="15" hidden="false" customHeight="false" outlineLevel="0" collapsed="false">
      <c r="A10" s="19" t="s">
        <v>86</v>
      </c>
      <c r="B10" s="20" t="s">
        <v>87</v>
      </c>
      <c r="C10" s="19" t="s">
        <v>78</v>
      </c>
      <c r="D10" s="19"/>
      <c r="E10" s="21"/>
      <c r="F10" s="22" t="n">
        <f aca="false">IF(D10="",0,E10*INDEX(Gangs!$D:$D,MATCH(D10,Gangs!$A:$A,0)))</f>
        <v>0</v>
      </c>
      <c r="G10" s="19"/>
      <c r="H10" s="21"/>
      <c r="I10" s="19"/>
      <c r="J10" s="21"/>
      <c r="K10" s="19"/>
      <c r="L10" s="21"/>
      <c r="M10" s="22" t="n">
        <f aca="false">IF(G10="",0,H10*INDEX(Materials!$E:$E,MATCH(G10,Materials!$A:$A,0)))+IF(I10="",0,J10*INDEX(Materials!$E:$E,MATCH(I10,Materials!$A:$A,0)))+IF(K10="",0,L10*INDEX(Materials!$E:$E,MATCH(K10,Materials!$A:$A,0)))</f>
        <v>0</v>
      </c>
      <c r="N10" s="23" t="n">
        <v>0</v>
      </c>
      <c r="O10" s="19" t="s">
        <v>88</v>
      </c>
      <c r="P10" s="21" t="n">
        <v>1</v>
      </c>
      <c r="Q10" s="22" t="n">
        <f aca="false">IF(O10="",0,P10*INDEX(Plant!$D:$D,MATCH(O10,Plant!$A:$A,0)))</f>
        <v>520</v>
      </c>
      <c r="R10" s="24" t="n">
        <f aca="false">F10+M10+N10+Q10</f>
        <v>520</v>
      </c>
      <c r="S10" s="22" t="n">
        <f aca="false">R10*Settings!$B$4*Settings!$B$9</f>
        <v>520</v>
      </c>
      <c r="T10" s="24" t="n">
        <f aca="false">S10*(1+Settings!$B$10)</f>
        <v>608.4</v>
      </c>
    </row>
    <row r="11" customFormat="false" ht="15" hidden="false" customHeight="false" outlineLevel="0" collapsed="false">
      <c r="A11" s="19" t="s">
        <v>89</v>
      </c>
      <c r="B11" s="20" t="s">
        <v>90</v>
      </c>
      <c r="C11" s="19" t="s">
        <v>78</v>
      </c>
      <c r="D11" s="19"/>
      <c r="E11" s="21"/>
      <c r="F11" s="22" t="n">
        <f aca="false">IF(D11="",0,E11*INDEX(Gangs!$D:$D,MATCH(D11,Gangs!$A:$A,0)))</f>
        <v>0</v>
      </c>
      <c r="G11" s="19"/>
      <c r="H11" s="21"/>
      <c r="I11" s="19"/>
      <c r="J11" s="21"/>
      <c r="K11" s="19"/>
      <c r="L11" s="21"/>
      <c r="M11" s="22" t="n">
        <f aca="false">IF(G11="",0,H11*INDEX(Materials!$E:$E,MATCH(G11,Materials!$A:$A,0)))+IF(I11="",0,J11*INDEX(Materials!$E:$E,MATCH(I11,Materials!$A:$A,0)))+IF(K11="",0,L11*INDEX(Materials!$E:$E,MATCH(K11,Materials!$A:$A,0)))</f>
        <v>0</v>
      </c>
      <c r="N11" s="23" t="n">
        <v>450</v>
      </c>
      <c r="O11" s="19"/>
      <c r="P11" s="21"/>
      <c r="Q11" s="22" t="n">
        <f aca="false">IF(O11="",0,P11*INDEX(Plant!$D:$D,MATCH(O11,Plant!$A:$A,0)))</f>
        <v>0</v>
      </c>
      <c r="R11" s="24" t="n">
        <f aca="false">F11+M11+N11+Q11</f>
        <v>450</v>
      </c>
      <c r="S11" s="22" t="n">
        <f aca="false">R11*Settings!$B$4*Settings!$B$9</f>
        <v>450</v>
      </c>
      <c r="T11" s="24" t="n">
        <f aca="false">S11*(1+Settings!$B$10)</f>
        <v>526.5</v>
      </c>
    </row>
    <row r="12" customFormat="false" ht="15" hidden="false" customHeight="false" outlineLevel="0" collapsed="false">
      <c r="A12" s="19" t="s">
        <v>91</v>
      </c>
      <c r="B12" s="20" t="s">
        <v>92</v>
      </c>
      <c r="C12" s="19" t="s">
        <v>93</v>
      </c>
      <c r="D12" s="19"/>
      <c r="E12" s="21"/>
      <c r="F12" s="22" t="n">
        <f aca="false">IF(D12="",0,E12*INDEX(Gangs!$D:$D,MATCH(D12,Gangs!$A:$A,0)))</f>
        <v>0</v>
      </c>
      <c r="G12" s="19"/>
      <c r="H12" s="21"/>
      <c r="I12" s="19"/>
      <c r="J12" s="21"/>
      <c r="K12" s="19"/>
      <c r="L12" s="21"/>
      <c r="M12" s="22" t="n">
        <f aca="false">IF(G12="",0,H12*INDEX(Materials!$E:$E,MATCH(G12,Materials!$A:$A,0)))+IF(I12="",0,J12*INDEX(Materials!$E:$E,MATCH(I12,Materials!$A:$A,0)))+IF(K12="",0,L12*INDEX(Materials!$E:$E,MATCH(K12,Materials!$A:$A,0)))</f>
        <v>0</v>
      </c>
      <c r="N12" s="23" t="n">
        <v>640</v>
      </c>
      <c r="O12" s="19"/>
      <c r="P12" s="21"/>
      <c r="Q12" s="22" t="n">
        <f aca="false">IF(O12="",0,P12*INDEX(Plant!$D:$D,MATCH(O12,Plant!$A:$A,0)))</f>
        <v>0</v>
      </c>
      <c r="R12" s="24" t="n">
        <f aca="false">F12+M12+N12+Q12</f>
        <v>640</v>
      </c>
      <c r="S12" s="22" t="n">
        <f aca="false">R12*Settings!$B$4*Settings!$B$9</f>
        <v>640</v>
      </c>
      <c r="T12" s="24" t="n">
        <f aca="false">S12*(1+Settings!$B$10)</f>
        <v>748.8</v>
      </c>
    </row>
    <row r="13" customFormat="false" ht="15" hidden="false" customHeight="false" outlineLevel="0" collapsed="false">
      <c r="A13" s="19" t="s">
        <v>94</v>
      </c>
      <c r="B13" s="20" t="s">
        <v>95</v>
      </c>
      <c r="C13" s="19" t="s">
        <v>96</v>
      </c>
      <c r="D13" s="19"/>
      <c r="E13" s="21"/>
      <c r="F13" s="22" t="n">
        <f aca="false">IF(D13="",0,E13*INDEX(Gangs!$D:$D,MATCH(D13,Gangs!$A:$A,0)))</f>
        <v>0</v>
      </c>
      <c r="G13" s="19"/>
      <c r="H13" s="21"/>
      <c r="I13" s="19"/>
      <c r="J13" s="21"/>
      <c r="K13" s="19"/>
      <c r="L13" s="21"/>
      <c r="M13" s="22" t="n">
        <f aca="false">IF(G13="",0,H13*INDEX(Materials!$E:$E,MATCH(G13,Materials!$A:$A,0)))+IF(I13="",0,J13*INDEX(Materials!$E:$E,MATCH(I13,Materials!$A:$A,0)))+IF(K13="",0,L13*INDEX(Materials!$E:$E,MATCH(K13,Materials!$A:$A,0)))</f>
        <v>0</v>
      </c>
      <c r="N13" s="23" t="n">
        <v>0</v>
      </c>
      <c r="O13" s="19" t="s">
        <v>97</v>
      </c>
      <c r="P13" s="21" t="n">
        <v>1</v>
      </c>
      <c r="Q13" s="22" t="n">
        <f aca="false">IF(O13="",0,P13*INDEX(Plant!$D:$D,MATCH(O13,Plant!$A:$A,0)))</f>
        <v>2300</v>
      </c>
      <c r="R13" s="24" t="n">
        <f aca="false">F13+M13+N13+Q13</f>
        <v>2300</v>
      </c>
      <c r="S13" s="22" t="n">
        <f aca="false">R13*Settings!$B$4*Settings!$B$9</f>
        <v>2300</v>
      </c>
      <c r="T13" s="24" t="n">
        <f aca="false">S13*(1+Settings!$B$10)</f>
        <v>2691</v>
      </c>
    </row>
    <row r="14" customFormat="false" ht="23.85" hidden="false" customHeight="false" outlineLevel="0" collapsed="false">
      <c r="A14" s="19" t="s">
        <v>98</v>
      </c>
      <c r="B14" s="20" t="s">
        <v>99</v>
      </c>
      <c r="C14" s="19" t="s">
        <v>74</v>
      </c>
      <c r="D14" s="19"/>
      <c r="E14" s="21"/>
      <c r="F14" s="22" t="n">
        <f aca="false">IF(D14="",0,E14*INDEX(Gangs!$D:$D,MATCH(D14,Gangs!$A:$A,0)))</f>
        <v>0</v>
      </c>
      <c r="G14" s="19"/>
      <c r="H14" s="21"/>
      <c r="I14" s="19"/>
      <c r="J14" s="21"/>
      <c r="K14" s="19"/>
      <c r="L14" s="21"/>
      <c r="M14" s="22" t="n">
        <f aca="false">IF(G14="",0,H14*INDEX(Materials!$E:$E,MATCH(G14,Materials!$A:$A,0)))+IF(I14="",0,J14*INDEX(Materials!$E:$E,MATCH(I14,Materials!$A:$A,0)))+IF(K14="",0,L14*INDEX(Materials!$E:$E,MATCH(K14,Materials!$A:$A,0)))</f>
        <v>0</v>
      </c>
      <c r="N14" s="23" t="n">
        <v>9500</v>
      </c>
      <c r="O14" s="19"/>
      <c r="P14" s="21"/>
      <c r="Q14" s="22" t="n">
        <f aca="false">IF(O14="",0,P14*INDEX(Plant!$D:$D,MATCH(O14,Plant!$A:$A,0)))</f>
        <v>0</v>
      </c>
      <c r="R14" s="24" t="n">
        <f aca="false">F14+M14+N14+Q14</f>
        <v>9500</v>
      </c>
      <c r="S14" s="22" t="n">
        <f aca="false">R14*Settings!$B$4*Settings!$B$9</f>
        <v>9500</v>
      </c>
      <c r="T14" s="24" t="n">
        <f aca="false">S14*(1+Settings!$B$10)</f>
        <v>11115</v>
      </c>
    </row>
    <row r="15" customFormat="false" ht="15" hidden="false" customHeight="false" outlineLevel="0" collapsed="false">
      <c r="A15" s="19" t="s">
        <v>100</v>
      </c>
      <c r="B15" s="20" t="s">
        <v>101</v>
      </c>
      <c r="C15" s="19" t="s">
        <v>74</v>
      </c>
      <c r="D15" s="19"/>
      <c r="E15" s="21"/>
      <c r="F15" s="22" t="n">
        <f aca="false">IF(D15="",0,E15*INDEX(Gangs!$D:$D,MATCH(D15,Gangs!$A:$A,0)))</f>
        <v>0</v>
      </c>
      <c r="G15" s="19"/>
      <c r="H15" s="21"/>
      <c r="I15" s="19"/>
      <c r="J15" s="21"/>
      <c r="K15" s="19"/>
      <c r="L15" s="21"/>
      <c r="M15" s="22" t="n">
        <f aca="false">IF(G15="",0,H15*INDEX(Materials!$E:$E,MATCH(G15,Materials!$A:$A,0)))+IF(I15="",0,J15*INDEX(Materials!$E:$E,MATCH(I15,Materials!$A:$A,0)))+IF(K15="",0,L15*INDEX(Materials!$E:$E,MATCH(K15,Materials!$A:$A,0)))</f>
        <v>0</v>
      </c>
      <c r="N15" s="23" t="n">
        <v>3200</v>
      </c>
      <c r="O15" s="19"/>
      <c r="P15" s="21"/>
      <c r="Q15" s="22" t="n">
        <f aca="false">IF(O15="",0,P15*INDEX(Plant!$D:$D,MATCH(O15,Plant!$A:$A,0)))</f>
        <v>0</v>
      </c>
      <c r="R15" s="24" t="n">
        <f aca="false">F15+M15+N15+Q15</f>
        <v>3200</v>
      </c>
      <c r="S15" s="22" t="n">
        <f aca="false">R15*Settings!$B$4*Settings!$B$9</f>
        <v>3200</v>
      </c>
      <c r="T15" s="24" t="n">
        <f aca="false">S15*(1+Settings!$B$10)</f>
        <v>3744</v>
      </c>
    </row>
    <row r="16" customFormat="false" ht="15" hidden="false" customHeight="false" outlineLevel="0" collapsed="false">
      <c r="A16" s="19" t="s">
        <v>102</v>
      </c>
      <c r="B16" s="20" t="s">
        <v>103</v>
      </c>
      <c r="C16" s="19" t="s">
        <v>74</v>
      </c>
      <c r="D16" s="19"/>
      <c r="E16" s="21"/>
      <c r="F16" s="22" t="n">
        <f aca="false">IF(D16="",0,E16*INDEX(Gangs!$D:$D,MATCH(D16,Gangs!$A:$A,0)))</f>
        <v>0</v>
      </c>
      <c r="G16" s="19"/>
      <c r="H16" s="21"/>
      <c r="I16" s="19"/>
      <c r="J16" s="21"/>
      <c r="K16" s="19"/>
      <c r="L16" s="21"/>
      <c r="M16" s="22" t="n">
        <f aca="false">IF(G16="",0,H16*INDEX(Materials!$E:$E,MATCH(G16,Materials!$A:$A,0)))+IF(I16="",0,J16*INDEX(Materials!$E:$E,MATCH(I16,Materials!$A:$A,0)))+IF(K16="",0,L16*INDEX(Materials!$E:$E,MATCH(K16,Materials!$A:$A,0)))</f>
        <v>0</v>
      </c>
      <c r="N16" s="23" t="n">
        <v>1800</v>
      </c>
      <c r="O16" s="19"/>
      <c r="P16" s="21"/>
      <c r="Q16" s="22" t="n">
        <f aca="false">IF(O16="",0,P16*INDEX(Plant!$D:$D,MATCH(O16,Plant!$A:$A,0)))</f>
        <v>0</v>
      </c>
      <c r="R16" s="24" t="n">
        <f aca="false">F16+M16+N16+Q16</f>
        <v>1800</v>
      </c>
      <c r="S16" s="22" t="n">
        <f aca="false">R16*Settings!$B$4*Settings!$B$9</f>
        <v>1800</v>
      </c>
      <c r="T16" s="24" t="n">
        <f aca="false">S16*(1+Settings!$B$10)</f>
        <v>2106</v>
      </c>
    </row>
    <row r="17" customFormat="false" ht="15" hidden="false" customHeight="false" outlineLevel="0" collapsed="false">
      <c r="A17" s="19" t="s">
        <v>104</v>
      </c>
      <c r="B17" s="20" t="s">
        <v>105</v>
      </c>
      <c r="C17" s="19" t="s">
        <v>74</v>
      </c>
      <c r="D17" s="19"/>
      <c r="E17" s="21"/>
      <c r="F17" s="22" t="n">
        <f aca="false">IF(D17="",0,E17*INDEX(Gangs!$D:$D,MATCH(D17,Gangs!$A:$A,0)))</f>
        <v>0</v>
      </c>
      <c r="G17" s="19"/>
      <c r="H17" s="21"/>
      <c r="I17" s="19"/>
      <c r="J17" s="21"/>
      <c r="K17" s="19"/>
      <c r="L17" s="21"/>
      <c r="M17" s="22" t="n">
        <f aca="false">IF(G17="",0,H17*INDEX(Materials!$E:$E,MATCH(G17,Materials!$A:$A,0)))+IF(I17="",0,J17*INDEX(Materials!$E:$E,MATCH(I17,Materials!$A:$A,0)))+IF(K17="",0,L17*INDEX(Materials!$E:$E,MATCH(K17,Materials!$A:$A,0)))</f>
        <v>0</v>
      </c>
      <c r="N17" s="23" t="n">
        <v>6500</v>
      </c>
      <c r="O17" s="19"/>
      <c r="P17" s="21"/>
      <c r="Q17" s="22" t="n">
        <f aca="false">IF(O17="",0,P17*INDEX(Plant!$D:$D,MATCH(O17,Plant!$A:$A,0)))</f>
        <v>0</v>
      </c>
      <c r="R17" s="24" t="n">
        <f aca="false">F17+M17+N17+Q17</f>
        <v>6500</v>
      </c>
      <c r="S17" s="22" t="n">
        <f aca="false">R17*Settings!$B$4*Settings!$B$9</f>
        <v>6500</v>
      </c>
      <c r="T17" s="24" t="n">
        <f aca="false">S17*(1+Settings!$B$10)</f>
        <v>7605</v>
      </c>
    </row>
    <row r="18" customFormat="false" ht="15" hidden="false" customHeight="false" outlineLevel="0" collapsed="false">
      <c r="A18" s="19" t="s">
        <v>106</v>
      </c>
      <c r="B18" s="20" t="s">
        <v>107</v>
      </c>
      <c r="C18" s="19" t="s">
        <v>108</v>
      </c>
      <c r="D18" s="19" t="s">
        <v>75</v>
      </c>
      <c r="E18" s="21" t="n">
        <v>0.12</v>
      </c>
      <c r="F18" s="22" t="n">
        <f aca="false">IF(D18="",0,E18*INDEX(Gangs!$D:$D,MATCH(D18,Gangs!$A:$A,0)))</f>
        <v>6.373086</v>
      </c>
      <c r="G18" s="19"/>
      <c r="H18" s="21"/>
      <c r="I18" s="19"/>
      <c r="J18" s="21"/>
      <c r="K18" s="19"/>
      <c r="L18" s="21"/>
      <c r="M18" s="22" t="n">
        <f aca="false">IF(G18="",0,H18*INDEX(Materials!$E:$E,MATCH(G18,Materials!$A:$A,0)))+IF(I18="",0,J18*INDEX(Materials!$E:$E,MATCH(I18,Materials!$A:$A,0)))+IF(K18="",0,L18*INDEX(Materials!$E:$E,MATCH(K18,Materials!$A:$A,0)))</f>
        <v>0</v>
      </c>
      <c r="N18" s="23" t="n">
        <v>4</v>
      </c>
      <c r="O18" s="19"/>
      <c r="P18" s="21"/>
      <c r="Q18" s="22" t="n">
        <f aca="false">IF(O18="",0,P18*INDEX(Plant!$D:$D,MATCH(O18,Plant!$A:$A,0)))</f>
        <v>0</v>
      </c>
      <c r="R18" s="24" t="n">
        <f aca="false">F18+M18+N18+Q18</f>
        <v>10.373086</v>
      </c>
      <c r="S18" s="22" t="n">
        <f aca="false">R18*Settings!$B$4*Settings!$B$9</f>
        <v>10.373086</v>
      </c>
      <c r="T18" s="24" t="n">
        <f aca="false">S18*(1+Settings!$B$10)</f>
        <v>12.13651062</v>
      </c>
    </row>
    <row r="19" customFormat="false" ht="15" hidden="false" customHeight="false" outlineLevel="0" collapsed="false">
      <c r="A19" s="19" t="s">
        <v>109</v>
      </c>
      <c r="B19" s="20" t="s">
        <v>110</v>
      </c>
      <c r="C19" s="19" t="s">
        <v>111</v>
      </c>
      <c r="D19" s="19"/>
      <c r="E19" s="21"/>
      <c r="F19" s="22" t="n">
        <f aca="false">IF(D19="",0,E19*INDEX(Gangs!$D:$D,MATCH(D19,Gangs!$A:$A,0)))</f>
        <v>0</v>
      </c>
      <c r="G19" s="19"/>
      <c r="H19" s="21"/>
      <c r="I19" s="19"/>
      <c r="J19" s="21"/>
      <c r="K19" s="19"/>
      <c r="L19" s="21"/>
      <c r="M19" s="22" t="n">
        <f aca="false">IF(G19="",0,H19*INDEX(Materials!$E:$E,MATCH(G19,Materials!$A:$A,0)))+IF(I19="",0,J19*INDEX(Materials!$E:$E,MATCH(I19,Materials!$A:$A,0)))+IF(K19="",0,L19*INDEX(Materials!$E:$E,MATCH(K19,Materials!$A:$A,0)))</f>
        <v>0</v>
      </c>
      <c r="N19" s="23" t="n">
        <v>0</v>
      </c>
      <c r="O19" s="19" t="s">
        <v>112</v>
      </c>
      <c r="P19" s="21" t="n">
        <v>1</v>
      </c>
      <c r="Q19" s="22" t="n">
        <f aca="false">IF(O19="",0,P19*INDEX(Plant!$D:$D,MATCH(O19,Plant!$A:$A,0)))</f>
        <v>18</v>
      </c>
      <c r="R19" s="24" t="n">
        <f aca="false">F19+M19+N19+Q19</f>
        <v>18</v>
      </c>
      <c r="S19" s="22" t="n">
        <f aca="false">R19*Settings!$B$4*Settings!$B$9</f>
        <v>18</v>
      </c>
      <c r="T19" s="24" t="n">
        <f aca="false">S19*(1+Settings!$B$10)</f>
        <v>21.06</v>
      </c>
    </row>
    <row r="20" customFormat="false" ht="15" hidden="false" customHeight="false" outlineLevel="0" collapsed="false">
      <c r="A20" s="19" t="s">
        <v>113</v>
      </c>
      <c r="B20" s="20" t="s">
        <v>114</v>
      </c>
      <c r="C20" s="19" t="s">
        <v>108</v>
      </c>
      <c r="D20" s="19" t="s">
        <v>75</v>
      </c>
      <c r="E20" s="21" t="n">
        <v>0.25</v>
      </c>
      <c r="F20" s="22" t="n">
        <f aca="false">IF(D20="",0,E20*INDEX(Gangs!$D:$D,MATCH(D20,Gangs!$A:$A,0)))</f>
        <v>13.2772625</v>
      </c>
      <c r="G20" s="19"/>
      <c r="H20" s="21"/>
      <c r="I20" s="19"/>
      <c r="J20" s="21"/>
      <c r="K20" s="19"/>
      <c r="L20" s="21"/>
      <c r="M20" s="22" t="n">
        <f aca="false">IF(G20="",0,H20*INDEX(Materials!$E:$E,MATCH(G20,Materials!$A:$A,0)))+IF(I20="",0,J20*INDEX(Materials!$E:$E,MATCH(I20,Materials!$A:$A,0)))+IF(K20="",0,L20*INDEX(Materials!$E:$E,MATCH(K20,Materials!$A:$A,0)))</f>
        <v>0</v>
      </c>
      <c r="N20" s="23" t="n">
        <v>0</v>
      </c>
      <c r="O20" s="19"/>
      <c r="P20" s="21"/>
      <c r="Q20" s="22" t="n">
        <f aca="false">IF(O20="",0,P20*INDEX(Plant!$D:$D,MATCH(O20,Plant!$A:$A,0)))</f>
        <v>0</v>
      </c>
      <c r="R20" s="24" t="n">
        <f aca="false">F20+M20+N20+Q20</f>
        <v>13.2772625</v>
      </c>
      <c r="S20" s="22" t="n">
        <f aca="false">R20*Settings!$B$4*Settings!$B$9</f>
        <v>13.2772625</v>
      </c>
      <c r="T20" s="24" t="n">
        <f aca="false">S20*(1+Settings!$B$10)</f>
        <v>15.534397125</v>
      </c>
    </row>
    <row r="21" customFormat="false" ht="15" hidden="false" customHeight="false" outlineLevel="0" collapsed="false">
      <c r="A21" s="19" t="s">
        <v>115</v>
      </c>
      <c r="B21" s="20" t="s">
        <v>116</v>
      </c>
      <c r="C21" s="19" t="s">
        <v>117</v>
      </c>
      <c r="D21" s="19"/>
      <c r="E21" s="21"/>
      <c r="F21" s="22" t="n">
        <f aca="false">IF(D21="",0,E21*INDEX(Gangs!$D:$D,MATCH(D21,Gangs!$A:$A,0)))</f>
        <v>0</v>
      </c>
      <c r="G21" s="19"/>
      <c r="H21" s="21"/>
      <c r="I21" s="19"/>
      <c r="J21" s="21"/>
      <c r="K21" s="19"/>
      <c r="L21" s="21"/>
      <c r="M21" s="22" t="n">
        <f aca="false">IF(G21="",0,H21*INDEX(Materials!$E:$E,MATCH(G21,Materials!$A:$A,0)))+IF(I21="",0,J21*INDEX(Materials!$E:$E,MATCH(I21,Materials!$A:$A,0)))+IF(K21="",0,L21*INDEX(Materials!$E:$E,MATCH(K21,Materials!$A:$A,0)))</f>
        <v>0</v>
      </c>
      <c r="N21" s="23" t="n">
        <v>0</v>
      </c>
      <c r="O21" s="19" t="s">
        <v>118</v>
      </c>
      <c r="P21" s="21" t="n">
        <v>1</v>
      </c>
      <c r="Q21" s="22" t="n">
        <f aca="false">IF(O21="",0,P21*INDEX(Plant!$D:$D,MATCH(O21,Plant!$A:$A,0)))</f>
        <v>12</v>
      </c>
      <c r="R21" s="24" t="n">
        <f aca="false">F21+M21+N21+Q21</f>
        <v>12</v>
      </c>
      <c r="S21" s="22" t="n">
        <f aca="false">R21*Settings!$B$4*Settings!$B$9</f>
        <v>12</v>
      </c>
      <c r="T21" s="24" t="n">
        <f aca="false">S21*(1+Settings!$B$10)</f>
        <v>14.04</v>
      </c>
    </row>
    <row r="22" customFormat="false" ht="15" hidden="false" customHeight="false" outlineLevel="0" collapsed="false">
      <c r="A22" s="19" t="s">
        <v>119</v>
      </c>
      <c r="B22" s="20" t="s">
        <v>120</v>
      </c>
      <c r="C22" s="19" t="s">
        <v>108</v>
      </c>
      <c r="D22" s="19" t="s">
        <v>75</v>
      </c>
      <c r="E22" s="21" t="n">
        <v>0.05</v>
      </c>
      <c r="F22" s="22" t="n">
        <f aca="false">IF(D22="",0,E22*INDEX(Gangs!$D:$D,MATCH(D22,Gangs!$A:$A,0)))</f>
        <v>2.6554525</v>
      </c>
      <c r="G22" s="19"/>
      <c r="H22" s="21"/>
      <c r="I22" s="19"/>
      <c r="J22" s="21"/>
      <c r="K22" s="19"/>
      <c r="L22" s="21"/>
      <c r="M22" s="22" t="n">
        <f aca="false">IF(G22="",0,H22*INDEX(Materials!$E:$E,MATCH(G22,Materials!$A:$A,0)))+IF(I22="",0,J22*INDEX(Materials!$E:$E,MATCH(I22,Materials!$A:$A,0)))+IF(K22="",0,L22*INDEX(Materials!$E:$E,MATCH(K22,Materials!$A:$A,0)))</f>
        <v>0</v>
      </c>
      <c r="N22" s="23" t="n">
        <v>18</v>
      </c>
      <c r="O22" s="19"/>
      <c r="P22" s="21"/>
      <c r="Q22" s="22" t="n">
        <f aca="false">IF(O22="",0,P22*INDEX(Plant!$D:$D,MATCH(O22,Plant!$A:$A,0)))</f>
        <v>0</v>
      </c>
      <c r="R22" s="24" t="n">
        <f aca="false">F22+M22+N22+Q22</f>
        <v>20.6554525</v>
      </c>
      <c r="S22" s="22" t="n">
        <f aca="false">R22*Settings!$B$4*Settings!$B$9</f>
        <v>20.6554525</v>
      </c>
      <c r="T22" s="24" t="n">
        <f aca="false">S22*(1+Settings!$B$10)</f>
        <v>24.166879425</v>
      </c>
    </row>
    <row r="23" customFormat="false" ht="15" hidden="false" customHeight="false" outlineLevel="0" collapsed="false">
      <c r="A23" s="17" t="s">
        <v>121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customFormat="false" ht="15" hidden="false" customHeight="false" outlineLevel="0" collapsed="false">
      <c r="A24" s="19" t="s">
        <v>122</v>
      </c>
      <c r="B24" s="20" t="s">
        <v>123</v>
      </c>
      <c r="C24" s="19" t="s">
        <v>108</v>
      </c>
      <c r="D24" s="19" t="s">
        <v>124</v>
      </c>
      <c r="E24" s="21" t="n">
        <v>0.6</v>
      </c>
      <c r="F24" s="22" t="n">
        <f aca="false">IF(D24="",0,E24*INDEX(Gangs!$D:$D,MATCH(D24,Gangs!$A:$A,0)))</f>
        <v>105.15669</v>
      </c>
      <c r="G24" s="19"/>
      <c r="H24" s="21"/>
      <c r="I24" s="19"/>
      <c r="J24" s="21"/>
      <c r="K24" s="19"/>
      <c r="L24" s="21"/>
      <c r="M24" s="22" t="n">
        <f aca="false">IF(G24="",0,H24*INDEX(Materials!$E:$E,MATCH(G24,Materials!$A:$A,0)))+IF(I24="",0,J24*INDEX(Materials!$E:$E,MATCH(I24,Materials!$A:$A,0)))+IF(K24="",0,L24*INDEX(Materials!$E:$E,MATCH(K24,Materials!$A:$A,0)))</f>
        <v>0</v>
      </c>
      <c r="N24" s="23" t="n">
        <v>10</v>
      </c>
      <c r="O24" s="19"/>
      <c r="P24" s="21"/>
      <c r="Q24" s="22" t="n">
        <f aca="false">IF(O24="",0,P24*INDEX(Plant!$D:$D,MATCH(O24,Plant!$A:$A,0)))</f>
        <v>0</v>
      </c>
      <c r="R24" s="24" t="n">
        <f aca="false">F24+M24+N24+Q24</f>
        <v>115.15669</v>
      </c>
      <c r="S24" s="22" t="n">
        <f aca="false">R24*Settings!$B$4*Settings!$B$9</f>
        <v>115.15669</v>
      </c>
      <c r="T24" s="24" t="n">
        <f aca="false">S24*(1+Settings!$B$10)</f>
        <v>134.7333273</v>
      </c>
    </row>
    <row r="25" customFormat="false" ht="15" hidden="false" customHeight="false" outlineLevel="0" collapsed="false">
      <c r="A25" s="19" t="s">
        <v>125</v>
      </c>
      <c r="B25" s="20" t="s">
        <v>126</v>
      </c>
      <c r="C25" s="19" t="s">
        <v>108</v>
      </c>
      <c r="D25" s="19" t="s">
        <v>124</v>
      </c>
      <c r="E25" s="21" t="n">
        <v>1</v>
      </c>
      <c r="F25" s="22" t="n">
        <f aca="false">IF(D25="",0,E25*INDEX(Gangs!$D:$D,MATCH(D25,Gangs!$A:$A,0)))</f>
        <v>175.26115</v>
      </c>
      <c r="G25" s="19"/>
      <c r="H25" s="21"/>
      <c r="I25" s="19"/>
      <c r="J25" s="21"/>
      <c r="K25" s="19"/>
      <c r="L25" s="21"/>
      <c r="M25" s="22" t="n">
        <f aca="false">IF(G25="",0,H25*INDEX(Materials!$E:$E,MATCH(G25,Materials!$A:$A,0)))+IF(I25="",0,J25*INDEX(Materials!$E:$E,MATCH(I25,Materials!$A:$A,0)))+IF(K25="",0,L25*INDEX(Materials!$E:$E,MATCH(K25,Materials!$A:$A,0)))</f>
        <v>0</v>
      </c>
      <c r="N25" s="23" t="n">
        <v>15</v>
      </c>
      <c r="O25" s="19"/>
      <c r="P25" s="21"/>
      <c r="Q25" s="22" t="n">
        <f aca="false">IF(O25="",0,P25*INDEX(Plant!$D:$D,MATCH(O25,Plant!$A:$A,0)))</f>
        <v>0</v>
      </c>
      <c r="R25" s="24" t="n">
        <f aca="false">F25+M25+N25+Q25</f>
        <v>190.26115</v>
      </c>
      <c r="S25" s="22" t="n">
        <f aca="false">R25*Settings!$B$4*Settings!$B$9</f>
        <v>190.26115</v>
      </c>
      <c r="T25" s="24" t="n">
        <f aca="false">S25*(1+Settings!$B$10)</f>
        <v>222.6055455</v>
      </c>
    </row>
    <row r="26" customFormat="false" ht="15" hidden="false" customHeight="false" outlineLevel="0" collapsed="false">
      <c r="A26" s="19" t="s">
        <v>127</v>
      </c>
      <c r="B26" s="20" t="s">
        <v>128</v>
      </c>
      <c r="C26" s="19" t="s">
        <v>108</v>
      </c>
      <c r="D26" s="19" t="s">
        <v>124</v>
      </c>
      <c r="E26" s="21" t="n">
        <v>0.5</v>
      </c>
      <c r="F26" s="22" t="n">
        <f aca="false">IF(D26="",0,E26*INDEX(Gangs!$D:$D,MATCH(D26,Gangs!$A:$A,0)))</f>
        <v>87.630575</v>
      </c>
      <c r="G26" s="19"/>
      <c r="H26" s="21"/>
      <c r="I26" s="19"/>
      <c r="J26" s="21"/>
      <c r="K26" s="19"/>
      <c r="L26" s="21"/>
      <c r="M26" s="22" t="n">
        <f aca="false">IF(G26="",0,H26*INDEX(Materials!$E:$E,MATCH(G26,Materials!$A:$A,0)))+IF(I26="",0,J26*INDEX(Materials!$E:$E,MATCH(I26,Materials!$A:$A,0)))+IF(K26="",0,L26*INDEX(Materials!$E:$E,MATCH(K26,Materials!$A:$A,0)))</f>
        <v>0</v>
      </c>
      <c r="N26" s="23" t="n">
        <v>0</v>
      </c>
      <c r="O26" s="19" t="s">
        <v>129</v>
      </c>
      <c r="P26" s="21" t="n">
        <v>0.4</v>
      </c>
      <c r="Q26" s="22" t="n">
        <f aca="false">IF(O26="",0,P26*INDEX(Plant!$D:$D,MATCH(O26,Plant!$A:$A,0)))</f>
        <v>60</v>
      </c>
      <c r="R26" s="24" t="n">
        <f aca="false">F26+M26+N26+Q26</f>
        <v>147.630575</v>
      </c>
      <c r="S26" s="22" t="n">
        <f aca="false">R26*Settings!$B$4*Settings!$B$9</f>
        <v>147.630575</v>
      </c>
      <c r="T26" s="24" t="n">
        <f aca="false">S26*(1+Settings!$B$10)</f>
        <v>172.72777275</v>
      </c>
    </row>
    <row r="27" customFormat="false" ht="15" hidden="false" customHeight="false" outlineLevel="0" collapsed="false">
      <c r="A27" s="19" t="s">
        <v>130</v>
      </c>
      <c r="B27" s="20" t="s">
        <v>131</v>
      </c>
      <c r="C27" s="19" t="s">
        <v>132</v>
      </c>
      <c r="D27" s="19" t="s">
        <v>124</v>
      </c>
      <c r="E27" s="21" t="n">
        <v>6</v>
      </c>
      <c r="F27" s="22" t="n">
        <f aca="false">IF(D27="",0,E27*INDEX(Gangs!$D:$D,MATCH(D27,Gangs!$A:$A,0)))</f>
        <v>1051.5669</v>
      </c>
      <c r="G27" s="19"/>
      <c r="H27" s="21"/>
      <c r="I27" s="19"/>
      <c r="J27" s="21"/>
      <c r="K27" s="19"/>
      <c r="L27" s="21"/>
      <c r="M27" s="22" t="n">
        <f aca="false">IF(G27="",0,H27*INDEX(Materials!$E:$E,MATCH(G27,Materials!$A:$A,0)))+IF(I27="",0,J27*INDEX(Materials!$E:$E,MATCH(I27,Materials!$A:$A,0)))+IF(K27="",0,L27*INDEX(Materials!$E:$E,MATCH(K27,Materials!$A:$A,0)))</f>
        <v>0</v>
      </c>
      <c r="N27" s="23" t="n">
        <v>0</v>
      </c>
      <c r="O27" s="19" t="s">
        <v>129</v>
      </c>
      <c r="P27" s="21" t="n">
        <v>5</v>
      </c>
      <c r="Q27" s="22" t="n">
        <f aca="false">IF(O27="",0,P27*INDEX(Plant!$D:$D,MATCH(O27,Plant!$A:$A,0)))</f>
        <v>750</v>
      </c>
      <c r="R27" s="24" t="n">
        <f aca="false">F27+M27+N27+Q27</f>
        <v>1801.5669</v>
      </c>
      <c r="S27" s="22" t="n">
        <f aca="false">R27*Settings!$B$4*Settings!$B$9</f>
        <v>1801.5669</v>
      </c>
      <c r="T27" s="24" t="n">
        <f aca="false">S27*(1+Settings!$B$10)</f>
        <v>2107.833273</v>
      </c>
    </row>
    <row r="28" customFormat="false" ht="15" hidden="false" customHeight="false" outlineLevel="0" collapsed="false">
      <c r="A28" s="19" t="s">
        <v>133</v>
      </c>
      <c r="B28" s="20" t="s">
        <v>134</v>
      </c>
      <c r="C28" s="19" t="s">
        <v>108</v>
      </c>
      <c r="D28" s="19" t="s">
        <v>124</v>
      </c>
      <c r="E28" s="21" t="n">
        <v>0.25</v>
      </c>
      <c r="F28" s="22" t="n">
        <f aca="false">IF(D28="",0,E28*INDEX(Gangs!$D:$D,MATCH(D28,Gangs!$A:$A,0)))</f>
        <v>43.8152875</v>
      </c>
      <c r="G28" s="19"/>
      <c r="H28" s="21"/>
      <c r="I28" s="19"/>
      <c r="J28" s="21"/>
      <c r="K28" s="19"/>
      <c r="L28" s="21"/>
      <c r="M28" s="22" t="n">
        <f aca="false">IF(G28="",0,H28*INDEX(Materials!$E:$E,MATCH(G28,Materials!$A:$A,0)))+IF(I28="",0,J28*INDEX(Materials!$E:$E,MATCH(I28,Materials!$A:$A,0)))+IF(K28="",0,L28*INDEX(Materials!$E:$E,MATCH(K28,Materials!$A:$A,0)))</f>
        <v>0</v>
      </c>
      <c r="N28" s="23" t="n">
        <v>5</v>
      </c>
      <c r="O28" s="19"/>
      <c r="P28" s="21"/>
      <c r="Q28" s="22" t="n">
        <f aca="false">IF(O28="",0,P28*INDEX(Plant!$D:$D,MATCH(O28,Plant!$A:$A,0)))</f>
        <v>0</v>
      </c>
      <c r="R28" s="24" t="n">
        <f aca="false">F28+M28+N28+Q28</f>
        <v>48.8152875</v>
      </c>
      <c r="S28" s="22" t="n">
        <f aca="false">R28*Settings!$B$4*Settings!$B$9</f>
        <v>48.8152875</v>
      </c>
      <c r="T28" s="24" t="n">
        <f aca="false">S28*(1+Settings!$B$10)</f>
        <v>57.113886375</v>
      </c>
    </row>
    <row r="29" customFormat="false" ht="15" hidden="false" customHeight="false" outlineLevel="0" collapsed="false">
      <c r="A29" s="19" t="s">
        <v>135</v>
      </c>
      <c r="B29" s="20" t="s">
        <v>136</v>
      </c>
      <c r="C29" s="19" t="s">
        <v>108</v>
      </c>
      <c r="D29" s="19" t="s">
        <v>124</v>
      </c>
      <c r="E29" s="21" t="n">
        <v>0.15</v>
      </c>
      <c r="F29" s="22" t="n">
        <f aca="false">IF(D29="",0,E29*INDEX(Gangs!$D:$D,MATCH(D29,Gangs!$A:$A,0)))</f>
        <v>26.2891725</v>
      </c>
      <c r="G29" s="19"/>
      <c r="H29" s="21"/>
      <c r="I29" s="19"/>
      <c r="J29" s="21"/>
      <c r="K29" s="19"/>
      <c r="L29" s="21"/>
      <c r="M29" s="22" t="n">
        <f aca="false">IF(G29="",0,H29*INDEX(Materials!$E:$E,MATCH(G29,Materials!$A:$A,0)))+IF(I29="",0,J29*INDEX(Materials!$E:$E,MATCH(I29,Materials!$A:$A,0)))+IF(K29="",0,L29*INDEX(Materials!$E:$E,MATCH(K29,Materials!$A:$A,0)))</f>
        <v>0</v>
      </c>
      <c r="N29" s="23" t="n">
        <v>5</v>
      </c>
      <c r="O29" s="19"/>
      <c r="P29" s="21"/>
      <c r="Q29" s="22" t="n">
        <f aca="false">IF(O29="",0,P29*INDEX(Plant!$D:$D,MATCH(O29,Plant!$A:$A,0)))</f>
        <v>0</v>
      </c>
      <c r="R29" s="24" t="n">
        <f aca="false">F29+M29+N29+Q29</f>
        <v>31.2891725</v>
      </c>
      <c r="S29" s="22" t="n">
        <f aca="false">R29*Settings!$B$4*Settings!$B$9</f>
        <v>31.2891725</v>
      </c>
      <c r="T29" s="24" t="n">
        <f aca="false">S29*(1+Settings!$B$10)</f>
        <v>36.608331825</v>
      </c>
    </row>
    <row r="30" customFormat="false" ht="15" hidden="false" customHeight="false" outlineLevel="0" collapsed="false">
      <c r="A30" s="19" t="s">
        <v>137</v>
      </c>
      <c r="B30" s="20" t="s">
        <v>138</v>
      </c>
      <c r="C30" s="19" t="s">
        <v>108</v>
      </c>
      <c r="D30" s="19" t="s">
        <v>124</v>
      </c>
      <c r="E30" s="21" t="n">
        <v>0.3</v>
      </c>
      <c r="F30" s="22" t="n">
        <f aca="false">IF(D30="",0,E30*INDEX(Gangs!$D:$D,MATCH(D30,Gangs!$A:$A,0)))</f>
        <v>52.578345</v>
      </c>
      <c r="G30" s="19"/>
      <c r="H30" s="21"/>
      <c r="I30" s="19"/>
      <c r="J30" s="21"/>
      <c r="K30" s="19"/>
      <c r="L30" s="21"/>
      <c r="M30" s="22" t="n">
        <f aca="false">IF(G30="",0,H30*INDEX(Materials!$E:$E,MATCH(G30,Materials!$A:$A,0)))+IF(I30="",0,J30*INDEX(Materials!$E:$E,MATCH(I30,Materials!$A:$A,0)))+IF(K30="",0,L30*INDEX(Materials!$E:$E,MATCH(K30,Materials!$A:$A,0)))</f>
        <v>0</v>
      </c>
      <c r="N30" s="23" t="n">
        <v>5</v>
      </c>
      <c r="O30" s="19"/>
      <c r="P30" s="21"/>
      <c r="Q30" s="22" t="n">
        <f aca="false">IF(O30="",0,P30*INDEX(Plant!$D:$D,MATCH(O30,Plant!$A:$A,0)))</f>
        <v>0</v>
      </c>
      <c r="R30" s="24" t="n">
        <f aca="false">F30+M30+N30+Q30</f>
        <v>57.578345</v>
      </c>
      <c r="S30" s="22" t="n">
        <f aca="false">R30*Settings!$B$4*Settings!$B$9</f>
        <v>57.578345</v>
      </c>
      <c r="T30" s="24" t="n">
        <f aca="false">S30*(1+Settings!$B$10)</f>
        <v>67.36666365</v>
      </c>
    </row>
    <row r="31" customFormat="false" ht="15" hidden="false" customHeight="false" outlineLevel="0" collapsed="false">
      <c r="A31" s="19" t="s">
        <v>139</v>
      </c>
      <c r="B31" s="20" t="s">
        <v>140</v>
      </c>
      <c r="C31" s="19" t="s">
        <v>108</v>
      </c>
      <c r="D31" s="19" t="s">
        <v>124</v>
      </c>
      <c r="E31" s="21" t="n">
        <v>0.2</v>
      </c>
      <c r="F31" s="22" t="n">
        <f aca="false">IF(D31="",0,E31*INDEX(Gangs!$D:$D,MATCH(D31,Gangs!$A:$A,0)))</f>
        <v>35.05223</v>
      </c>
      <c r="G31" s="19"/>
      <c r="H31" s="21"/>
      <c r="I31" s="19"/>
      <c r="J31" s="21"/>
      <c r="K31" s="19"/>
      <c r="L31" s="21"/>
      <c r="M31" s="22" t="n">
        <f aca="false">IF(G31="",0,H31*INDEX(Materials!$E:$E,MATCH(G31,Materials!$A:$A,0)))+IF(I31="",0,J31*INDEX(Materials!$E:$E,MATCH(I31,Materials!$A:$A,0)))+IF(K31="",0,L31*INDEX(Materials!$E:$E,MATCH(K31,Materials!$A:$A,0)))</f>
        <v>0</v>
      </c>
      <c r="N31" s="23" t="n">
        <v>5</v>
      </c>
      <c r="O31" s="19"/>
      <c r="P31" s="21"/>
      <c r="Q31" s="22" t="n">
        <f aca="false">IF(O31="",0,P31*INDEX(Plant!$D:$D,MATCH(O31,Plant!$A:$A,0)))</f>
        <v>0</v>
      </c>
      <c r="R31" s="24" t="n">
        <f aca="false">F31+M31+N31+Q31</f>
        <v>40.05223</v>
      </c>
      <c r="S31" s="22" t="n">
        <f aca="false">R31*Settings!$B$4*Settings!$B$9</f>
        <v>40.05223</v>
      </c>
      <c r="T31" s="24" t="n">
        <f aca="false">S31*(1+Settings!$B$10)</f>
        <v>46.8611091</v>
      </c>
    </row>
    <row r="32" customFormat="false" ht="15" hidden="false" customHeight="false" outlineLevel="0" collapsed="false">
      <c r="A32" s="19" t="s">
        <v>141</v>
      </c>
      <c r="B32" s="20" t="s">
        <v>142</v>
      </c>
      <c r="C32" s="19" t="s">
        <v>108</v>
      </c>
      <c r="D32" s="19" t="s">
        <v>124</v>
      </c>
      <c r="E32" s="21" t="n">
        <v>0.35</v>
      </c>
      <c r="F32" s="22" t="n">
        <f aca="false">IF(D32="",0,E32*INDEX(Gangs!$D:$D,MATCH(D32,Gangs!$A:$A,0)))</f>
        <v>61.3414025</v>
      </c>
      <c r="G32" s="19"/>
      <c r="H32" s="21"/>
      <c r="I32" s="19"/>
      <c r="J32" s="21"/>
      <c r="K32" s="19"/>
      <c r="L32" s="21"/>
      <c r="M32" s="22" t="n">
        <f aca="false">IF(G32="",0,H32*INDEX(Materials!$E:$E,MATCH(G32,Materials!$A:$A,0)))+IF(I32="",0,J32*INDEX(Materials!$E:$E,MATCH(I32,Materials!$A:$A,0)))+IF(K32="",0,L32*INDEX(Materials!$E:$E,MATCH(K32,Materials!$A:$A,0)))</f>
        <v>0</v>
      </c>
      <c r="N32" s="23" t="n">
        <v>5</v>
      </c>
      <c r="O32" s="19"/>
      <c r="P32" s="21"/>
      <c r="Q32" s="22" t="n">
        <f aca="false">IF(O32="",0,P32*INDEX(Plant!$D:$D,MATCH(O32,Plant!$A:$A,0)))</f>
        <v>0</v>
      </c>
      <c r="R32" s="24" t="n">
        <f aca="false">F32+M32+N32+Q32</f>
        <v>66.3414025</v>
      </c>
      <c r="S32" s="22" t="n">
        <f aca="false">R32*Settings!$B$4*Settings!$B$9</f>
        <v>66.3414025</v>
      </c>
      <c r="T32" s="24" t="n">
        <f aca="false">S32*(1+Settings!$B$10)</f>
        <v>77.619440925</v>
      </c>
    </row>
    <row r="33" customFormat="false" ht="15" hidden="false" customHeight="false" outlineLevel="0" collapsed="false">
      <c r="A33" s="19" t="s">
        <v>143</v>
      </c>
      <c r="B33" s="20" t="s">
        <v>144</v>
      </c>
      <c r="C33" s="19" t="s">
        <v>108</v>
      </c>
      <c r="D33" s="19" t="s">
        <v>124</v>
      </c>
      <c r="E33" s="21" t="n">
        <v>0.4</v>
      </c>
      <c r="F33" s="22" t="n">
        <f aca="false">IF(D33="",0,E33*INDEX(Gangs!$D:$D,MATCH(D33,Gangs!$A:$A,0)))</f>
        <v>70.10446</v>
      </c>
      <c r="G33" s="19"/>
      <c r="H33" s="21"/>
      <c r="I33" s="19"/>
      <c r="J33" s="21"/>
      <c r="K33" s="19"/>
      <c r="L33" s="21"/>
      <c r="M33" s="22" t="n">
        <f aca="false">IF(G33="",0,H33*INDEX(Materials!$E:$E,MATCH(G33,Materials!$A:$A,0)))+IF(I33="",0,J33*INDEX(Materials!$E:$E,MATCH(I33,Materials!$A:$A,0)))+IF(K33="",0,L33*INDEX(Materials!$E:$E,MATCH(K33,Materials!$A:$A,0)))</f>
        <v>0</v>
      </c>
      <c r="N33" s="23" t="n">
        <v>5</v>
      </c>
      <c r="O33" s="19"/>
      <c r="P33" s="21"/>
      <c r="Q33" s="22" t="n">
        <f aca="false">IF(O33="",0,P33*INDEX(Plant!$D:$D,MATCH(O33,Plant!$A:$A,0)))</f>
        <v>0</v>
      </c>
      <c r="R33" s="24" t="n">
        <f aca="false">F33+M33+N33+Q33</f>
        <v>75.10446</v>
      </c>
      <c r="S33" s="22" t="n">
        <f aca="false">R33*Settings!$B$4*Settings!$B$9</f>
        <v>75.10446</v>
      </c>
      <c r="T33" s="24" t="n">
        <f aca="false">S33*(1+Settings!$B$10)</f>
        <v>87.8722182</v>
      </c>
    </row>
    <row r="34" customFormat="false" ht="15" hidden="false" customHeight="false" outlineLevel="0" collapsed="false">
      <c r="A34" s="19" t="s">
        <v>145</v>
      </c>
      <c r="B34" s="20" t="s">
        <v>146</v>
      </c>
      <c r="C34" s="19" t="s">
        <v>96</v>
      </c>
      <c r="D34" s="19" t="s">
        <v>124</v>
      </c>
      <c r="E34" s="21" t="n">
        <v>1.5</v>
      </c>
      <c r="F34" s="22" t="n">
        <f aca="false">IF(D34="",0,E34*INDEX(Gangs!$D:$D,MATCH(D34,Gangs!$A:$A,0)))</f>
        <v>262.891725</v>
      </c>
      <c r="G34" s="19"/>
      <c r="H34" s="21"/>
      <c r="I34" s="19"/>
      <c r="J34" s="21"/>
      <c r="K34" s="19"/>
      <c r="L34" s="21"/>
      <c r="M34" s="22" t="n">
        <f aca="false">IF(G34="",0,H34*INDEX(Materials!$E:$E,MATCH(G34,Materials!$A:$A,0)))+IF(I34="",0,J34*INDEX(Materials!$E:$E,MATCH(I34,Materials!$A:$A,0)))+IF(K34="",0,L34*INDEX(Materials!$E:$E,MATCH(K34,Materials!$A:$A,0)))</f>
        <v>0</v>
      </c>
      <c r="N34" s="23" t="n">
        <v>60</v>
      </c>
      <c r="O34" s="19"/>
      <c r="P34" s="21"/>
      <c r="Q34" s="22" t="n">
        <f aca="false">IF(O34="",0,P34*INDEX(Plant!$D:$D,MATCH(O34,Plant!$A:$A,0)))</f>
        <v>0</v>
      </c>
      <c r="R34" s="24" t="n">
        <f aca="false">F34+M34+N34+Q34</f>
        <v>322.891725</v>
      </c>
      <c r="S34" s="22" t="n">
        <f aca="false">R34*Settings!$B$4*Settings!$B$9</f>
        <v>322.891725</v>
      </c>
      <c r="T34" s="24" t="n">
        <f aca="false">S34*(1+Settings!$B$10)</f>
        <v>377.78331825</v>
      </c>
    </row>
    <row r="35" customFormat="false" ht="15" hidden="false" customHeight="false" outlineLevel="0" collapsed="false">
      <c r="A35" s="19" t="s">
        <v>147</v>
      </c>
      <c r="B35" s="20" t="s">
        <v>148</v>
      </c>
      <c r="C35" s="19" t="s">
        <v>96</v>
      </c>
      <c r="D35" s="19" t="s">
        <v>124</v>
      </c>
      <c r="E35" s="21" t="n">
        <v>2.5</v>
      </c>
      <c r="F35" s="22" t="n">
        <f aca="false">IF(D35="",0,E35*INDEX(Gangs!$D:$D,MATCH(D35,Gangs!$A:$A,0)))</f>
        <v>438.152875</v>
      </c>
      <c r="G35" s="19"/>
      <c r="H35" s="21"/>
      <c r="I35" s="19"/>
      <c r="J35" s="21"/>
      <c r="K35" s="19"/>
      <c r="L35" s="21"/>
      <c r="M35" s="22" t="n">
        <f aca="false">IF(G35="",0,H35*INDEX(Materials!$E:$E,MATCH(G35,Materials!$A:$A,0)))+IF(I35="",0,J35*INDEX(Materials!$E:$E,MATCH(I35,Materials!$A:$A,0)))+IF(K35="",0,L35*INDEX(Materials!$E:$E,MATCH(K35,Materials!$A:$A,0)))</f>
        <v>0</v>
      </c>
      <c r="N35" s="23" t="n">
        <v>90</v>
      </c>
      <c r="O35" s="19"/>
      <c r="P35" s="21"/>
      <c r="Q35" s="22" t="n">
        <f aca="false">IF(O35="",0,P35*INDEX(Plant!$D:$D,MATCH(O35,Plant!$A:$A,0)))</f>
        <v>0</v>
      </c>
      <c r="R35" s="24" t="n">
        <f aca="false">F35+M35+N35+Q35</f>
        <v>528.152875</v>
      </c>
      <c r="S35" s="22" t="n">
        <f aca="false">R35*Settings!$B$4*Settings!$B$9</f>
        <v>528.152875</v>
      </c>
      <c r="T35" s="24" t="n">
        <f aca="false">S35*(1+Settings!$B$10)</f>
        <v>617.93886375</v>
      </c>
    </row>
    <row r="36" customFormat="false" ht="15" hidden="false" customHeight="false" outlineLevel="0" collapsed="false">
      <c r="A36" s="19" t="s">
        <v>149</v>
      </c>
      <c r="B36" s="20" t="s">
        <v>150</v>
      </c>
      <c r="C36" s="19" t="s">
        <v>96</v>
      </c>
      <c r="D36" s="19" t="s">
        <v>151</v>
      </c>
      <c r="E36" s="21" t="n">
        <v>1</v>
      </c>
      <c r="F36" s="22" t="n">
        <f aca="false">IF(D36="",0,E36*INDEX(Gangs!$D:$D,MATCH(D36,Gangs!$A:$A,0)))</f>
        <v>226.58405</v>
      </c>
      <c r="G36" s="19"/>
      <c r="H36" s="21"/>
      <c r="I36" s="19"/>
      <c r="J36" s="21"/>
      <c r="K36" s="19"/>
      <c r="L36" s="21"/>
      <c r="M36" s="22" t="n">
        <f aca="false">IF(G36="",0,H36*INDEX(Materials!$E:$E,MATCH(G36,Materials!$A:$A,0)))+IF(I36="",0,J36*INDEX(Materials!$E:$E,MATCH(I36,Materials!$A:$A,0)))+IF(K36="",0,L36*INDEX(Materials!$E:$E,MATCH(K36,Materials!$A:$A,0)))</f>
        <v>0</v>
      </c>
      <c r="N36" s="23" t="n">
        <v>40</v>
      </c>
      <c r="O36" s="19"/>
      <c r="P36" s="21"/>
      <c r="Q36" s="22" t="n">
        <f aca="false">IF(O36="",0,P36*INDEX(Plant!$D:$D,MATCH(O36,Plant!$A:$A,0)))</f>
        <v>0</v>
      </c>
      <c r="R36" s="24" t="n">
        <f aca="false">F36+M36+N36+Q36</f>
        <v>266.58405</v>
      </c>
      <c r="S36" s="22" t="n">
        <f aca="false">R36*Settings!$B$4*Settings!$B$9</f>
        <v>266.58405</v>
      </c>
      <c r="T36" s="24" t="n">
        <f aca="false">S36*(1+Settings!$B$10)</f>
        <v>311.9033385</v>
      </c>
    </row>
    <row r="37" customFormat="false" ht="15" hidden="false" customHeight="false" outlineLevel="0" collapsed="false">
      <c r="A37" s="19" t="s">
        <v>152</v>
      </c>
      <c r="B37" s="20" t="s">
        <v>153</v>
      </c>
      <c r="C37" s="19" t="s">
        <v>96</v>
      </c>
      <c r="D37" s="19" t="s">
        <v>154</v>
      </c>
      <c r="E37" s="21" t="n">
        <v>8</v>
      </c>
      <c r="F37" s="22" t="n">
        <f aca="false">IF(D37="",0,E37*INDEX(Gangs!$D:$D,MATCH(D37,Gangs!$A:$A,0)))</f>
        <v>1328.9984</v>
      </c>
      <c r="G37" s="19" t="s">
        <v>155</v>
      </c>
      <c r="H37" s="21" t="n">
        <v>3</v>
      </c>
      <c r="I37" s="19" t="s">
        <v>156</v>
      </c>
      <c r="J37" s="21" t="n">
        <v>0.02</v>
      </c>
      <c r="K37" s="19"/>
      <c r="L37" s="21"/>
      <c r="M37" s="22" t="n">
        <f aca="false">IF(G37="",0,H37*INDEX(Materials!$E:$E,MATCH(G37,Materials!$A:$A,0)))+IF(I37="",0,J37*INDEX(Materials!$E:$E,MATCH(I37,Materials!$A:$A,0)))+IF(K37="",0,L37*INDEX(Materials!$E:$E,MATCH(K37,Materials!$A:$A,0)))</f>
        <v>256.96</v>
      </c>
      <c r="N37" s="23" t="n">
        <v>150</v>
      </c>
      <c r="O37" s="19"/>
      <c r="P37" s="21"/>
      <c r="Q37" s="22" t="n">
        <f aca="false">IF(O37="",0,P37*INDEX(Plant!$D:$D,MATCH(O37,Plant!$A:$A,0)))</f>
        <v>0</v>
      </c>
      <c r="R37" s="24" t="n">
        <f aca="false">F37+M37+N37+Q37</f>
        <v>1735.9584</v>
      </c>
      <c r="S37" s="22" t="n">
        <f aca="false">R37*Settings!$B$4*Settings!$B$9</f>
        <v>1735.9584</v>
      </c>
      <c r="T37" s="24" t="n">
        <f aca="false">S37*(1+Settings!$B$10)</f>
        <v>2031.071328</v>
      </c>
    </row>
    <row r="38" customFormat="false" ht="15" hidden="false" customHeight="false" outlineLevel="0" collapsed="false">
      <c r="A38" s="19" t="s">
        <v>157</v>
      </c>
      <c r="B38" s="20" t="s">
        <v>158</v>
      </c>
      <c r="C38" s="19" t="s">
        <v>96</v>
      </c>
      <c r="D38" s="19" t="s">
        <v>154</v>
      </c>
      <c r="E38" s="21" t="n">
        <v>5</v>
      </c>
      <c r="F38" s="22" t="n">
        <f aca="false">IF(D38="",0,E38*INDEX(Gangs!$D:$D,MATCH(D38,Gangs!$A:$A,0)))</f>
        <v>830.624</v>
      </c>
      <c r="G38" s="19" t="s">
        <v>155</v>
      </c>
      <c r="H38" s="21" t="n">
        <v>1.5</v>
      </c>
      <c r="I38" s="19" t="s">
        <v>156</v>
      </c>
      <c r="J38" s="21" t="n">
        <v>0.01</v>
      </c>
      <c r="K38" s="19"/>
      <c r="L38" s="21"/>
      <c r="M38" s="22" t="n">
        <f aca="false">IF(G38="",0,H38*INDEX(Materials!$E:$E,MATCH(G38,Materials!$A:$A,0)))+IF(I38="",0,J38*INDEX(Materials!$E:$E,MATCH(I38,Materials!$A:$A,0)))+IF(K38="",0,L38*INDEX(Materials!$E:$E,MATCH(K38,Materials!$A:$A,0)))</f>
        <v>128.48</v>
      </c>
      <c r="N38" s="23" t="n">
        <v>100</v>
      </c>
      <c r="O38" s="19"/>
      <c r="P38" s="21"/>
      <c r="Q38" s="22" t="n">
        <f aca="false">IF(O38="",0,P38*INDEX(Plant!$D:$D,MATCH(O38,Plant!$A:$A,0)))</f>
        <v>0</v>
      </c>
      <c r="R38" s="24" t="n">
        <f aca="false">F38+M38+N38+Q38</f>
        <v>1059.104</v>
      </c>
      <c r="S38" s="22" t="n">
        <f aca="false">R38*Settings!$B$4*Settings!$B$9</f>
        <v>1059.104</v>
      </c>
      <c r="T38" s="24" t="n">
        <f aca="false">S38*(1+Settings!$B$10)</f>
        <v>1239.15168</v>
      </c>
    </row>
    <row r="39" customFormat="false" ht="15" hidden="false" customHeight="false" outlineLevel="0" collapsed="false">
      <c r="A39" s="19" t="s">
        <v>159</v>
      </c>
      <c r="B39" s="20" t="s">
        <v>160</v>
      </c>
      <c r="C39" s="19" t="s">
        <v>96</v>
      </c>
      <c r="D39" s="19" t="s">
        <v>154</v>
      </c>
      <c r="E39" s="21" t="n">
        <v>6</v>
      </c>
      <c r="F39" s="22" t="n">
        <f aca="false">IF(D39="",0,E39*INDEX(Gangs!$D:$D,MATCH(D39,Gangs!$A:$A,0)))</f>
        <v>996.7488</v>
      </c>
      <c r="G39" s="19"/>
      <c r="H39" s="21"/>
      <c r="I39" s="19"/>
      <c r="J39" s="21"/>
      <c r="K39" s="19"/>
      <c r="L39" s="21"/>
      <c r="M39" s="22" t="n">
        <f aca="false">IF(G39="",0,H39*INDEX(Materials!$E:$E,MATCH(G39,Materials!$A:$A,0)))+IF(I39="",0,J39*INDEX(Materials!$E:$E,MATCH(I39,Materials!$A:$A,0)))+IF(K39="",0,L39*INDEX(Materials!$E:$E,MATCH(K39,Materials!$A:$A,0)))</f>
        <v>0</v>
      </c>
      <c r="N39" s="23" t="n">
        <v>850</v>
      </c>
      <c r="O39" s="19"/>
      <c r="P39" s="21"/>
      <c r="Q39" s="22" t="n">
        <f aca="false">IF(O39="",0,P39*INDEX(Plant!$D:$D,MATCH(O39,Plant!$A:$A,0)))</f>
        <v>0</v>
      </c>
      <c r="R39" s="24" t="n">
        <f aca="false">F39+M39+N39+Q39</f>
        <v>1846.7488</v>
      </c>
      <c r="S39" s="22" t="n">
        <f aca="false">R39*Settings!$B$4*Settings!$B$9</f>
        <v>1846.7488</v>
      </c>
      <c r="T39" s="24" t="n">
        <f aca="false">S39*(1+Settings!$B$10)</f>
        <v>2160.696096</v>
      </c>
    </row>
    <row r="40" customFormat="false" ht="15" hidden="false" customHeight="false" outlineLevel="0" collapsed="false">
      <c r="A40" s="19" t="s">
        <v>161</v>
      </c>
      <c r="B40" s="20" t="s">
        <v>162</v>
      </c>
      <c r="C40" s="19" t="s">
        <v>132</v>
      </c>
      <c r="D40" s="19" t="s">
        <v>75</v>
      </c>
      <c r="E40" s="21" t="n">
        <v>0.5</v>
      </c>
      <c r="F40" s="22" t="n">
        <f aca="false">IF(D40="",0,E40*INDEX(Gangs!$D:$D,MATCH(D40,Gangs!$A:$A,0)))</f>
        <v>26.554525</v>
      </c>
      <c r="G40" s="19"/>
      <c r="H40" s="21"/>
      <c r="I40" s="19"/>
      <c r="J40" s="21"/>
      <c r="K40" s="19"/>
      <c r="L40" s="21"/>
      <c r="M40" s="22" t="n">
        <f aca="false">IF(G40="",0,H40*INDEX(Materials!$E:$E,MATCH(G40,Materials!$A:$A,0)))+IF(I40="",0,J40*INDEX(Materials!$E:$E,MATCH(I40,Materials!$A:$A,0)))+IF(K40="",0,L40*INDEX(Materials!$E:$E,MATCH(K40,Materials!$A:$A,0)))</f>
        <v>0</v>
      </c>
      <c r="N40" s="23" t="n">
        <v>0</v>
      </c>
      <c r="O40" s="19" t="s">
        <v>163</v>
      </c>
      <c r="P40" s="21" t="n">
        <v>1</v>
      </c>
      <c r="Q40" s="22" t="n">
        <f aca="false">IF(O40="",0,P40*INDEX(Plant!$D:$D,MATCH(O40,Plant!$A:$A,0)))</f>
        <v>380</v>
      </c>
      <c r="R40" s="24" t="n">
        <f aca="false">F40+M40+N40+Q40</f>
        <v>406.554525</v>
      </c>
      <c r="S40" s="22" t="n">
        <f aca="false">R40*Settings!$B$4*Settings!$B$9</f>
        <v>406.554525</v>
      </c>
      <c r="T40" s="24" t="n">
        <f aca="false">S40*(1+Settings!$B$10)</f>
        <v>475.66879425</v>
      </c>
    </row>
    <row r="41" customFormat="false" ht="15" hidden="false" customHeight="false" outlineLevel="0" collapsed="false">
      <c r="A41" s="17" t="s">
        <v>164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 customFormat="false" ht="15" hidden="false" customHeight="false" outlineLevel="0" collapsed="false">
      <c r="A42" s="19" t="s">
        <v>165</v>
      </c>
      <c r="B42" s="20" t="s">
        <v>166</v>
      </c>
      <c r="C42" s="19" t="s">
        <v>108</v>
      </c>
      <c r="D42" s="19" t="s">
        <v>75</v>
      </c>
      <c r="E42" s="21" t="n">
        <v>0.02</v>
      </c>
      <c r="F42" s="22" t="n">
        <f aca="false">IF(D42="",0,E42*INDEX(Gangs!$D:$D,MATCH(D42,Gangs!$A:$A,0)))</f>
        <v>1.062181</v>
      </c>
      <c r="G42" s="19"/>
      <c r="H42" s="21"/>
      <c r="I42" s="19"/>
      <c r="J42" s="21"/>
      <c r="K42" s="19"/>
      <c r="L42" s="21"/>
      <c r="M42" s="22" t="n">
        <f aca="false">IF(G42="",0,H42*INDEX(Materials!$E:$E,MATCH(G42,Materials!$A:$A,0)))+IF(I42="",0,J42*INDEX(Materials!$E:$E,MATCH(I42,Materials!$A:$A,0)))+IF(K42="",0,L42*INDEX(Materials!$E:$E,MATCH(K42,Materials!$A:$A,0)))</f>
        <v>0</v>
      </c>
      <c r="N42" s="23" t="n">
        <v>0</v>
      </c>
      <c r="O42" s="19" t="s">
        <v>167</v>
      </c>
      <c r="P42" s="21" t="n">
        <v>0.012</v>
      </c>
      <c r="Q42" s="22" t="n">
        <f aca="false">IF(O42="",0,P42*INDEX(Plant!$D:$D,MATCH(O42,Plant!$A:$A,0)))</f>
        <v>6.24</v>
      </c>
      <c r="R42" s="24" t="n">
        <f aca="false">F42+M42+N42+Q42</f>
        <v>7.302181</v>
      </c>
      <c r="S42" s="22" t="n">
        <f aca="false">R42*Settings!$B$4*Settings!$B$9</f>
        <v>7.302181</v>
      </c>
      <c r="T42" s="24" t="n">
        <f aca="false">S42*(1+Settings!$B$10)</f>
        <v>8.54355177</v>
      </c>
    </row>
    <row r="43" customFormat="false" ht="15" hidden="false" customHeight="false" outlineLevel="0" collapsed="false">
      <c r="A43" s="19" t="s">
        <v>168</v>
      </c>
      <c r="B43" s="20" t="s">
        <v>169</v>
      </c>
      <c r="C43" s="19" t="s">
        <v>132</v>
      </c>
      <c r="D43" s="19" t="s">
        <v>75</v>
      </c>
      <c r="E43" s="21" t="n">
        <v>0.25</v>
      </c>
      <c r="F43" s="22" t="n">
        <f aca="false">IF(D43="",0,E43*INDEX(Gangs!$D:$D,MATCH(D43,Gangs!$A:$A,0)))</f>
        <v>13.2772625</v>
      </c>
      <c r="G43" s="19"/>
      <c r="H43" s="21"/>
      <c r="I43" s="19"/>
      <c r="J43" s="21"/>
      <c r="K43" s="19"/>
      <c r="L43" s="21"/>
      <c r="M43" s="22" t="n">
        <f aca="false">IF(G43="",0,H43*INDEX(Materials!$E:$E,MATCH(G43,Materials!$A:$A,0)))+IF(I43="",0,J43*INDEX(Materials!$E:$E,MATCH(I43,Materials!$A:$A,0)))+IF(K43="",0,L43*INDEX(Materials!$E:$E,MATCH(K43,Materials!$A:$A,0)))</f>
        <v>0</v>
      </c>
      <c r="N43" s="23" t="n">
        <v>0</v>
      </c>
      <c r="O43" s="19" t="s">
        <v>167</v>
      </c>
      <c r="P43" s="21" t="n">
        <v>0.16</v>
      </c>
      <c r="Q43" s="22" t="n">
        <f aca="false">IF(O43="",0,P43*INDEX(Plant!$D:$D,MATCH(O43,Plant!$A:$A,0)))</f>
        <v>83.2</v>
      </c>
      <c r="R43" s="24" t="n">
        <f aca="false">F43+M43+N43+Q43</f>
        <v>96.4772625</v>
      </c>
      <c r="S43" s="22" t="n">
        <f aca="false">R43*Settings!$B$4*Settings!$B$9</f>
        <v>96.4772625</v>
      </c>
      <c r="T43" s="24" t="n">
        <f aca="false">S43*(1+Settings!$B$10)</f>
        <v>112.878397125</v>
      </c>
    </row>
    <row r="44" customFormat="false" ht="15" hidden="false" customHeight="false" outlineLevel="0" collapsed="false">
      <c r="A44" s="19" t="s">
        <v>170</v>
      </c>
      <c r="B44" s="20" t="s">
        <v>171</v>
      </c>
      <c r="C44" s="19" t="s">
        <v>132</v>
      </c>
      <c r="D44" s="19" t="s">
        <v>75</v>
      </c>
      <c r="E44" s="21" t="n">
        <v>3.2</v>
      </c>
      <c r="F44" s="22" t="n">
        <f aca="false">IF(D44="",0,E44*INDEX(Gangs!$D:$D,MATCH(D44,Gangs!$A:$A,0)))</f>
        <v>169.94896</v>
      </c>
      <c r="G44" s="19"/>
      <c r="H44" s="21"/>
      <c r="I44" s="19"/>
      <c r="J44" s="21"/>
      <c r="K44" s="19"/>
      <c r="L44" s="21"/>
      <c r="M44" s="22" t="n">
        <f aca="false">IF(G44="",0,H44*INDEX(Materials!$E:$E,MATCH(G44,Materials!$A:$A,0)))+IF(I44="",0,J44*INDEX(Materials!$E:$E,MATCH(I44,Materials!$A:$A,0)))+IF(K44="",0,L44*INDEX(Materials!$E:$E,MATCH(K44,Materials!$A:$A,0)))</f>
        <v>0</v>
      </c>
      <c r="N44" s="23" t="n">
        <v>0</v>
      </c>
      <c r="O44" s="19"/>
      <c r="P44" s="21"/>
      <c r="Q44" s="22" t="n">
        <f aca="false">IF(O44="",0,P44*INDEX(Plant!$D:$D,MATCH(O44,Plant!$A:$A,0)))</f>
        <v>0</v>
      </c>
      <c r="R44" s="24" t="n">
        <f aca="false">F44+M44+N44+Q44</f>
        <v>169.94896</v>
      </c>
      <c r="S44" s="22" t="n">
        <f aca="false">R44*Settings!$B$4*Settings!$B$9</f>
        <v>169.94896</v>
      </c>
      <c r="T44" s="24" t="n">
        <f aca="false">S44*(1+Settings!$B$10)</f>
        <v>198.8402832</v>
      </c>
    </row>
    <row r="45" customFormat="false" ht="15" hidden="false" customHeight="false" outlineLevel="0" collapsed="false">
      <c r="A45" s="19" t="s">
        <v>172</v>
      </c>
      <c r="B45" s="20" t="s">
        <v>173</v>
      </c>
      <c r="C45" s="19" t="s">
        <v>132</v>
      </c>
      <c r="D45" s="19" t="s">
        <v>75</v>
      </c>
      <c r="E45" s="21" t="n">
        <v>1</v>
      </c>
      <c r="F45" s="22" t="n">
        <f aca="false">IF(D45="",0,E45*INDEX(Gangs!$D:$D,MATCH(D45,Gangs!$A:$A,0)))</f>
        <v>53.10905</v>
      </c>
      <c r="G45" s="19"/>
      <c r="H45" s="21"/>
      <c r="I45" s="19"/>
      <c r="J45" s="21"/>
      <c r="K45" s="19"/>
      <c r="L45" s="21"/>
      <c r="M45" s="22" t="n">
        <f aca="false">IF(G45="",0,H45*INDEX(Materials!$E:$E,MATCH(G45,Materials!$A:$A,0)))+IF(I45="",0,J45*INDEX(Materials!$E:$E,MATCH(I45,Materials!$A:$A,0)))+IF(K45="",0,L45*INDEX(Materials!$E:$E,MATCH(K45,Materials!$A:$A,0)))</f>
        <v>0</v>
      </c>
      <c r="N45" s="23" t="n">
        <v>0</v>
      </c>
      <c r="O45" s="19" t="s">
        <v>129</v>
      </c>
      <c r="P45" s="21" t="n">
        <v>1.5</v>
      </c>
      <c r="Q45" s="22" t="n">
        <f aca="false">IF(O45="",0,P45*INDEX(Plant!$D:$D,MATCH(O45,Plant!$A:$A,0)))</f>
        <v>225</v>
      </c>
      <c r="R45" s="24" t="n">
        <f aca="false">F45+M45+N45+Q45</f>
        <v>278.10905</v>
      </c>
      <c r="S45" s="22" t="n">
        <f aca="false">R45*Settings!$B$4*Settings!$B$9</f>
        <v>278.10905</v>
      </c>
      <c r="T45" s="24" t="n">
        <f aca="false">S45*(1+Settings!$B$10)</f>
        <v>325.3875885</v>
      </c>
    </row>
    <row r="46" customFormat="false" ht="15" hidden="false" customHeight="false" outlineLevel="0" collapsed="false">
      <c r="A46" s="19" t="s">
        <v>174</v>
      </c>
      <c r="B46" s="20" t="s">
        <v>175</v>
      </c>
      <c r="C46" s="19" t="s">
        <v>132</v>
      </c>
      <c r="D46" s="19" t="s">
        <v>75</v>
      </c>
      <c r="E46" s="21" t="n">
        <v>2</v>
      </c>
      <c r="F46" s="22" t="n">
        <f aca="false">IF(D46="",0,E46*INDEX(Gangs!$D:$D,MATCH(D46,Gangs!$A:$A,0)))</f>
        <v>106.2181</v>
      </c>
      <c r="G46" s="19"/>
      <c r="H46" s="21"/>
      <c r="I46" s="19"/>
      <c r="J46" s="21"/>
      <c r="K46" s="19"/>
      <c r="L46" s="21"/>
      <c r="M46" s="22" t="n">
        <f aca="false">IF(G46="",0,H46*INDEX(Materials!$E:$E,MATCH(G46,Materials!$A:$A,0)))+IF(I46="",0,J46*INDEX(Materials!$E:$E,MATCH(I46,Materials!$A:$A,0)))+IF(K46="",0,L46*INDEX(Materials!$E:$E,MATCH(K46,Materials!$A:$A,0)))</f>
        <v>0</v>
      </c>
      <c r="N46" s="23" t="n">
        <v>520</v>
      </c>
      <c r="O46" s="19" t="s">
        <v>129</v>
      </c>
      <c r="P46" s="21" t="n">
        <v>3</v>
      </c>
      <c r="Q46" s="22" t="n">
        <f aca="false">IF(O46="",0,P46*INDEX(Plant!$D:$D,MATCH(O46,Plant!$A:$A,0)))</f>
        <v>450</v>
      </c>
      <c r="R46" s="24" t="n">
        <f aca="false">F46+M46+N46+Q46</f>
        <v>1076.2181</v>
      </c>
      <c r="S46" s="22" t="n">
        <f aca="false">R46*Settings!$B$4*Settings!$B$9</f>
        <v>1076.2181</v>
      </c>
      <c r="T46" s="24" t="n">
        <f aca="false">S46*(1+Settings!$B$10)</f>
        <v>1259.175177</v>
      </c>
    </row>
    <row r="47" customFormat="false" ht="15" hidden="false" customHeight="false" outlineLevel="0" collapsed="false">
      <c r="A47" s="19" t="s">
        <v>176</v>
      </c>
      <c r="B47" s="20" t="s">
        <v>177</v>
      </c>
      <c r="C47" s="19" t="s">
        <v>132</v>
      </c>
      <c r="D47" s="19" t="s">
        <v>75</v>
      </c>
      <c r="E47" s="21" t="n">
        <v>0.05</v>
      </c>
      <c r="F47" s="22" t="n">
        <f aca="false">IF(D47="",0,E47*INDEX(Gangs!$D:$D,MATCH(D47,Gangs!$A:$A,0)))</f>
        <v>2.6554525</v>
      </c>
      <c r="G47" s="19"/>
      <c r="H47" s="21"/>
      <c r="I47" s="19"/>
      <c r="J47" s="21"/>
      <c r="K47" s="19"/>
      <c r="L47" s="21"/>
      <c r="M47" s="22" t="n">
        <f aca="false">IF(G47="",0,H47*INDEX(Materials!$E:$E,MATCH(G47,Materials!$A:$A,0)))+IF(I47="",0,J47*INDEX(Materials!$E:$E,MATCH(I47,Materials!$A:$A,0)))+IF(K47="",0,L47*INDEX(Materials!$E:$E,MATCH(K47,Materials!$A:$A,0)))</f>
        <v>0</v>
      </c>
      <c r="N47" s="23" t="n">
        <v>0</v>
      </c>
      <c r="O47" s="19" t="s">
        <v>178</v>
      </c>
      <c r="P47" s="21" t="n">
        <v>0.06</v>
      </c>
      <c r="Q47" s="22" t="n">
        <f aca="false">IF(O47="",0,P47*INDEX(Plant!$D:$D,MATCH(O47,Plant!$A:$A,0)))</f>
        <v>63</v>
      </c>
      <c r="R47" s="24" t="n">
        <f aca="false">F47+M47+N47+Q47</f>
        <v>65.6554525</v>
      </c>
      <c r="S47" s="22" t="n">
        <f aca="false">R47*Settings!$B$4*Settings!$B$9</f>
        <v>65.6554525</v>
      </c>
      <c r="T47" s="24" t="n">
        <f aca="false">S47*(1+Settings!$B$10)</f>
        <v>76.816879425</v>
      </c>
    </row>
    <row r="48" customFormat="false" ht="15" hidden="false" customHeight="false" outlineLevel="0" collapsed="false">
      <c r="A48" s="19" t="s">
        <v>179</v>
      </c>
      <c r="B48" s="20" t="s">
        <v>180</v>
      </c>
      <c r="C48" s="19" t="s">
        <v>132</v>
      </c>
      <c r="D48" s="19" t="s">
        <v>75</v>
      </c>
      <c r="E48" s="21" t="n">
        <v>0.3</v>
      </c>
      <c r="F48" s="22" t="n">
        <f aca="false">IF(D48="",0,E48*INDEX(Gangs!$D:$D,MATCH(D48,Gangs!$A:$A,0)))</f>
        <v>15.932715</v>
      </c>
      <c r="G48" s="19"/>
      <c r="H48" s="21"/>
      <c r="I48" s="19"/>
      <c r="J48" s="21"/>
      <c r="K48" s="19"/>
      <c r="L48" s="21"/>
      <c r="M48" s="22" t="n">
        <f aca="false">IF(G48="",0,H48*INDEX(Materials!$E:$E,MATCH(G48,Materials!$A:$A,0)))+IF(I48="",0,J48*INDEX(Materials!$E:$E,MATCH(I48,Materials!$A:$A,0)))+IF(K48="",0,L48*INDEX(Materials!$E:$E,MATCH(K48,Materials!$A:$A,0)))</f>
        <v>0</v>
      </c>
      <c r="N48" s="23" t="n">
        <v>0</v>
      </c>
      <c r="O48" s="19" t="s">
        <v>167</v>
      </c>
      <c r="P48" s="21" t="n">
        <v>0.2</v>
      </c>
      <c r="Q48" s="22" t="n">
        <f aca="false">IF(O48="",0,P48*INDEX(Plant!$D:$D,MATCH(O48,Plant!$A:$A,0)))</f>
        <v>104</v>
      </c>
      <c r="R48" s="24" t="n">
        <f aca="false">F48+M48+N48+Q48</f>
        <v>119.932715</v>
      </c>
      <c r="S48" s="22" t="n">
        <f aca="false">R48*Settings!$B$4*Settings!$B$9</f>
        <v>119.932715</v>
      </c>
      <c r="T48" s="24" t="n">
        <f aca="false">S48*(1+Settings!$B$10)</f>
        <v>140.32127655</v>
      </c>
    </row>
    <row r="49" customFormat="false" ht="15" hidden="false" customHeight="false" outlineLevel="0" collapsed="false">
      <c r="A49" s="19" t="s">
        <v>181</v>
      </c>
      <c r="B49" s="20" t="s">
        <v>182</v>
      </c>
      <c r="C49" s="19" t="s">
        <v>108</v>
      </c>
      <c r="D49" s="19" t="s">
        <v>75</v>
      </c>
      <c r="E49" s="21" t="n">
        <v>0.3</v>
      </c>
      <c r="F49" s="22" t="n">
        <f aca="false">IF(D49="",0,E49*INDEX(Gangs!$D:$D,MATCH(D49,Gangs!$A:$A,0)))</f>
        <v>15.932715</v>
      </c>
      <c r="G49" s="19"/>
      <c r="H49" s="21"/>
      <c r="I49" s="19"/>
      <c r="J49" s="21"/>
      <c r="K49" s="19"/>
      <c r="L49" s="21"/>
      <c r="M49" s="22" t="n">
        <f aca="false">IF(G49="",0,H49*INDEX(Materials!$E:$E,MATCH(G49,Materials!$A:$A,0)))+IF(I49="",0,J49*INDEX(Materials!$E:$E,MATCH(I49,Materials!$A:$A,0)))+IF(K49="",0,L49*INDEX(Materials!$E:$E,MATCH(K49,Materials!$A:$A,0)))</f>
        <v>0</v>
      </c>
      <c r="N49" s="23" t="n">
        <v>45</v>
      </c>
      <c r="O49" s="19"/>
      <c r="P49" s="21"/>
      <c r="Q49" s="22" t="n">
        <f aca="false">IF(O49="",0,P49*INDEX(Plant!$D:$D,MATCH(O49,Plant!$A:$A,0)))</f>
        <v>0</v>
      </c>
      <c r="R49" s="24" t="n">
        <f aca="false">F49+M49+N49+Q49</f>
        <v>60.932715</v>
      </c>
      <c r="S49" s="22" t="n">
        <f aca="false">R49*Settings!$B$4*Settings!$B$9</f>
        <v>60.932715</v>
      </c>
      <c r="T49" s="24" t="n">
        <f aca="false">S49*(1+Settings!$B$10)</f>
        <v>71.29127655</v>
      </c>
    </row>
    <row r="50" customFormat="false" ht="15" hidden="false" customHeight="false" outlineLevel="0" collapsed="false">
      <c r="A50" s="19" t="s">
        <v>183</v>
      </c>
      <c r="B50" s="20" t="s">
        <v>184</v>
      </c>
      <c r="C50" s="19" t="s">
        <v>93</v>
      </c>
      <c r="D50" s="19" t="s">
        <v>75</v>
      </c>
      <c r="E50" s="21" t="n">
        <v>2</v>
      </c>
      <c r="F50" s="22" t="n">
        <f aca="false">IF(D50="",0,E50*INDEX(Gangs!$D:$D,MATCH(D50,Gangs!$A:$A,0)))</f>
        <v>106.2181</v>
      </c>
      <c r="G50" s="19"/>
      <c r="H50" s="21"/>
      <c r="I50" s="19"/>
      <c r="J50" s="21"/>
      <c r="K50" s="19"/>
      <c r="L50" s="21"/>
      <c r="M50" s="22" t="n">
        <f aca="false">IF(G50="",0,H50*INDEX(Materials!$E:$E,MATCH(G50,Materials!$A:$A,0)))+IF(I50="",0,J50*INDEX(Materials!$E:$E,MATCH(I50,Materials!$A:$A,0)))+IF(K50="",0,L50*INDEX(Materials!$E:$E,MATCH(K50,Materials!$A:$A,0)))</f>
        <v>0</v>
      </c>
      <c r="N50" s="23" t="n">
        <v>0</v>
      </c>
      <c r="O50" s="19" t="s">
        <v>185</v>
      </c>
      <c r="P50" s="21" t="n">
        <v>1</v>
      </c>
      <c r="Q50" s="22" t="n">
        <f aca="false">IF(O50="",0,P50*INDEX(Plant!$D:$D,MATCH(O50,Plant!$A:$A,0)))</f>
        <v>450</v>
      </c>
      <c r="R50" s="24" t="n">
        <f aca="false">F50+M50+N50+Q50</f>
        <v>556.2181</v>
      </c>
      <c r="S50" s="22" t="n">
        <f aca="false">R50*Settings!$B$4*Settings!$B$9</f>
        <v>556.2181</v>
      </c>
      <c r="T50" s="24" t="n">
        <f aca="false">S50*(1+Settings!$B$10)</f>
        <v>650.775177</v>
      </c>
    </row>
    <row r="51" customFormat="false" ht="15" hidden="false" customHeight="false" outlineLevel="0" collapsed="false">
      <c r="A51" s="19" t="s">
        <v>186</v>
      </c>
      <c r="B51" s="20" t="s">
        <v>187</v>
      </c>
      <c r="C51" s="19" t="s">
        <v>132</v>
      </c>
      <c r="D51" s="19" t="s">
        <v>75</v>
      </c>
      <c r="E51" s="21" t="n">
        <v>1.2</v>
      </c>
      <c r="F51" s="22" t="n">
        <f aca="false">IF(D51="",0,E51*INDEX(Gangs!$D:$D,MATCH(D51,Gangs!$A:$A,0)))</f>
        <v>63.73086</v>
      </c>
      <c r="G51" s="19"/>
      <c r="H51" s="21"/>
      <c r="I51" s="19"/>
      <c r="J51" s="21"/>
      <c r="K51" s="19"/>
      <c r="L51" s="21"/>
      <c r="M51" s="22" t="n">
        <f aca="false">IF(G51="",0,H51*INDEX(Materials!$E:$E,MATCH(G51,Materials!$A:$A,0)))+IF(I51="",0,J51*INDEX(Materials!$E:$E,MATCH(I51,Materials!$A:$A,0)))+IF(K51="",0,L51*INDEX(Materials!$E:$E,MATCH(K51,Materials!$A:$A,0)))</f>
        <v>0</v>
      </c>
      <c r="N51" s="23" t="n">
        <v>0</v>
      </c>
      <c r="O51" s="19" t="s">
        <v>188</v>
      </c>
      <c r="P51" s="21" t="n">
        <v>0.067</v>
      </c>
      <c r="Q51" s="22" t="n">
        <f aca="false">IF(O51="",0,P51*INDEX(Plant!$D:$D,MATCH(O51,Plant!$A:$A,0)))</f>
        <v>25.46</v>
      </c>
      <c r="R51" s="24" t="n">
        <f aca="false">F51+M51+N51+Q51</f>
        <v>89.19086</v>
      </c>
      <c r="S51" s="22" t="n">
        <f aca="false">R51*Settings!$B$4*Settings!$B$9</f>
        <v>89.19086</v>
      </c>
      <c r="T51" s="24" t="n">
        <f aca="false">S51*(1+Settings!$B$10)</f>
        <v>104.3533062</v>
      </c>
    </row>
    <row r="52" customFormat="false" ht="15" hidden="false" customHeight="false" outlineLevel="0" collapsed="false">
      <c r="A52" s="19" t="s">
        <v>189</v>
      </c>
      <c r="B52" s="20" t="s">
        <v>190</v>
      </c>
      <c r="C52" s="19" t="s">
        <v>132</v>
      </c>
      <c r="D52" s="19" t="s">
        <v>75</v>
      </c>
      <c r="E52" s="21" t="n">
        <v>0.8</v>
      </c>
      <c r="F52" s="22" t="n">
        <f aca="false">IF(D52="",0,E52*INDEX(Gangs!$D:$D,MATCH(D52,Gangs!$A:$A,0)))</f>
        <v>42.48724</v>
      </c>
      <c r="G52" s="19" t="s">
        <v>191</v>
      </c>
      <c r="H52" s="21" t="n">
        <v>1.3</v>
      </c>
      <c r="I52" s="19"/>
      <c r="J52" s="21"/>
      <c r="K52" s="19"/>
      <c r="L52" s="21"/>
      <c r="M52" s="22" t="n">
        <f aca="false">IF(G52="",0,H52*INDEX(Materials!$E:$E,MATCH(G52,Materials!$A:$A,0)))+IF(I52="",0,J52*INDEX(Materials!$E:$E,MATCH(I52,Materials!$A:$A,0)))+IF(K52="",0,L52*INDEX(Materials!$E:$E,MATCH(K52,Materials!$A:$A,0)))</f>
        <v>390</v>
      </c>
      <c r="N52" s="23" t="n">
        <v>0</v>
      </c>
      <c r="O52" s="19" t="s">
        <v>188</v>
      </c>
      <c r="P52" s="21" t="n">
        <v>0.08</v>
      </c>
      <c r="Q52" s="22" t="n">
        <f aca="false">IF(O52="",0,P52*INDEX(Plant!$D:$D,MATCH(O52,Plant!$A:$A,0)))</f>
        <v>30.4</v>
      </c>
      <c r="R52" s="24" t="n">
        <f aca="false">F52+M52+N52+Q52</f>
        <v>462.88724</v>
      </c>
      <c r="S52" s="22" t="n">
        <f aca="false">R52*Settings!$B$4*Settings!$B$9</f>
        <v>462.88724</v>
      </c>
      <c r="T52" s="24" t="n">
        <f aca="false">S52*(1+Settings!$B$10)</f>
        <v>541.5780708</v>
      </c>
    </row>
    <row r="53" customFormat="false" ht="15" hidden="false" customHeight="false" outlineLevel="0" collapsed="false">
      <c r="A53" s="19" t="s">
        <v>192</v>
      </c>
      <c r="B53" s="20" t="s">
        <v>193</v>
      </c>
      <c r="C53" s="19" t="s">
        <v>132</v>
      </c>
      <c r="D53" s="19" t="s">
        <v>75</v>
      </c>
      <c r="E53" s="21" t="n">
        <v>0.1</v>
      </c>
      <c r="F53" s="22" t="n">
        <f aca="false">IF(D53="",0,E53*INDEX(Gangs!$D:$D,MATCH(D53,Gangs!$A:$A,0)))</f>
        <v>5.310905</v>
      </c>
      <c r="G53" s="19"/>
      <c r="H53" s="21"/>
      <c r="I53" s="19"/>
      <c r="J53" s="21"/>
      <c r="K53" s="19"/>
      <c r="L53" s="21"/>
      <c r="M53" s="22" t="n">
        <f aca="false">IF(G53="",0,H53*INDEX(Materials!$E:$E,MATCH(G53,Materials!$A:$A,0)))+IF(I53="",0,J53*INDEX(Materials!$E:$E,MATCH(I53,Materials!$A:$A,0)))+IF(K53="",0,L53*INDEX(Materials!$E:$E,MATCH(K53,Materials!$A:$A,0)))</f>
        <v>0</v>
      </c>
      <c r="N53" s="23" t="n">
        <v>0</v>
      </c>
      <c r="O53" s="19" t="s">
        <v>194</v>
      </c>
      <c r="P53" s="21" t="n">
        <v>1.25</v>
      </c>
      <c r="Q53" s="22" t="n">
        <f aca="false">IF(O53="",0,P53*INDEX(Plant!$D:$D,MATCH(O53,Plant!$A:$A,0)))</f>
        <v>212.5</v>
      </c>
      <c r="R53" s="24" t="n">
        <f aca="false">F53+M53+N53+Q53</f>
        <v>217.810905</v>
      </c>
      <c r="S53" s="22" t="n">
        <f aca="false">R53*Settings!$B$4*Settings!$B$9</f>
        <v>217.810905</v>
      </c>
      <c r="T53" s="24" t="n">
        <f aca="false">S53*(1+Settings!$B$10)</f>
        <v>254.83875885</v>
      </c>
    </row>
    <row r="54" customFormat="false" ht="15" hidden="false" customHeight="false" outlineLevel="0" collapsed="false">
      <c r="A54" s="19" t="s">
        <v>195</v>
      </c>
      <c r="B54" s="20" t="s">
        <v>196</v>
      </c>
      <c r="C54" s="19" t="s">
        <v>108</v>
      </c>
      <c r="D54" s="19"/>
      <c r="E54" s="21"/>
      <c r="F54" s="22" t="n">
        <f aca="false">IF(D54="",0,E54*INDEX(Gangs!$D:$D,MATCH(D54,Gangs!$A:$A,0)))</f>
        <v>0</v>
      </c>
      <c r="G54" s="19"/>
      <c r="H54" s="21"/>
      <c r="I54" s="19"/>
      <c r="J54" s="21"/>
      <c r="K54" s="19"/>
      <c r="L54" s="21"/>
      <c r="M54" s="22" t="n">
        <f aca="false">IF(G54="",0,H54*INDEX(Materials!$E:$E,MATCH(G54,Materials!$A:$A,0)))+IF(I54="",0,J54*INDEX(Materials!$E:$E,MATCH(I54,Materials!$A:$A,0)))+IF(K54="",0,L54*INDEX(Materials!$E:$E,MATCH(K54,Materials!$A:$A,0)))</f>
        <v>0</v>
      </c>
      <c r="N54" s="23" t="n">
        <v>22</v>
      </c>
      <c r="O54" s="19"/>
      <c r="P54" s="21"/>
      <c r="Q54" s="22" t="n">
        <f aca="false">IF(O54="",0,P54*INDEX(Plant!$D:$D,MATCH(O54,Plant!$A:$A,0)))</f>
        <v>0</v>
      </c>
      <c r="R54" s="24" t="n">
        <f aca="false">F54+M54+N54+Q54</f>
        <v>22</v>
      </c>
      <c r="S54" s="22" t="n">
        <f aca="false">R54*Settings!$B$4*Settings!$B$9</f>
        <v>22</v>
      </c>
      <c r="T54" s="24" t="n">
        <f aca="false">S54*(1+Settings!$B$10)</f>
        <v>25.74</v>
      </c>
    </row>
    <row r="55" customFormat="false" ht="15" hidden="false" customHeight="false" outlineLevel="0" collapsed="false">
      <c r="A55" s="19" t="s">
        <v>197</v>
      </c>
      <c r="B55" s="20" t="s">
        <v>198</v>
      </c>
      <c r="C55" s="19" t="s">
        <v>108</v>
      </c>
      <c r="D55" s="19" t="s">
        <v>75</v>
      </c>
      <c r="E55" s="21" t="n">
        <v>0.08</v>
      </c>
      <c r="F55" s="22" t="n">
        <f aca="false">IF(D55="",0,E55*INDEX(Gangs!$D:$D,MATCH(D55,Gangs!$A:$A,0)))</f>
        <v>4.248724</v>
      </c>
      <c r="G55" s="19"/>
      <c r="H55" s="21"/>
      <c r="I55" s="19"/>
      <c r="J55" s="21"/>
      <c r="K55" s="19"/>
      <c r="L55" s="21"/>
      <c r="M55" s="22" t="n">
        <f aca="false">IF(G55="",0,H55*INDEX(Materials!$E:$E,MATCH(G55,Materials!$A:$A,0)))+IF(I55="",0,J55*INDEX(Materials!$E:$E,MATCH(I55,Materials!$A:$A,0)))+IF(K55="",0,L55*INDEX(Materials!$E:$E,MATCH(K55,Materials!$A:$A,0)))</f>
        <v>0</v>
      </c>
      <c r="N55" s="23" t="n">
        <v>0</v>
      </c>
      <c r="O55" s="19" t="s">
        <v>188</v>
      </c>
      <c r="P55" s="21" t="n">
        <v>0.01</v>
      </c>
      <c r="Q55" s="22" t="n">
        <f aca="false">IF(O55="",0,P55*INDEX(Plant!$D:$D,MATCH(O55,Plant!$A:$A,0)))</f>
        <v>3.8</v>
      </c>
      <c r="R55" s="24" t="n">
        <f aca="false">F55+M55+N55+Q55</f>
        <v>8.048724</v>
      </c>
      <c r="S55" s="22" t="n">
        <f aca="false">R55*Settings!$B$4*Settings!$B$9</f>
        <v>8.048724</v>
      </c>
      <c r="T55" s="24" t="n">
        <f aca="false">S55*(1+Settings!$B$10)</f>
        <v>9.41700708</v>
      </c>
    </row>
    <row r="56" customFormat="false" ht="15" hidden="false" customHeight="false" outlineLevel="0" collapsed="false">
      <c r="A56" s="19" t="s">
        <v>199</v>
      </c>
      <c r="B56" s="20" t="s">
        <v>200</v>
      </c>
      <c r="C56" s="19" t="s">
        <v>108</v>
      </c>
      <c r="D56" s="19" t="s">
        <v>75</v>
      </c>
      <c r="E56" s="21" t="n">
        <v>0.1</v>
      </c>
      <c r="F56" s="22" t="n">
        <f aca="false">IF(D56="",0,E56*INDEX(Gangs!$D:$D,MATCH(D56,Gangs!$A:$A,0)))</f>
        <v>5.310905</v>
      </c>
      <c r="G56" s="19"/>
      <c r="H56" s="21"/>
      <c r="I56" s="19"/>
      <c r="J56" s="21"/>
      <c r="K56" s="19"/>
      <c r="L56" s="21"/>
      <c r="M56" s="22" t="n">
        <f aca="false">IF(G56="",0,H56*INDEX(Materials!$E:$E,MATCH(G56,Materials!$A:$A,0)))+IF(I56="",0,J56*INDEX(Materials!$E:$E,MATCH(I56,Materials!$A:$A,0)))+IF(K56="",0,L56*INDEX(Materials!$E:$E,MATCH(K56,Materials!$A:$A,0)))</f>
        <v>0</v>
      </c>
      <c r="N56" s="23" t="n">
        <v>0</v>
      </c>
      <c r="O56" s="19" t="s">
        <v>188</v>
      </c>
      <c r="P56" s="21" t="n">
        <v>0.01</v>
      </c>
      <c r="Q56" s="22" t="n">
        <f aca="false">IF(O56="",0,P56*INDEX(Plant!$D:$D,MATCH(O56,Plant!$A:$A,0)))</f>
        <v>3.8</v>
      </c>
      <c r="R56" s="24" t="n">
        <f aca="false">F56+M56+N56+Q56</f>
        <v>9.110905</v>
      </c>
      <c r="S56" s="22" t="n">
        <f aca="false">R56*Settings!$B$4*Settings!$B$9</f>
        <v>9.110905</v>
      </c>
      <c r="T56" s="24" t="n">
        <f aca="false">S56*(1+Settings!$B$10)</f>
        <v>10.65975885</v>
      </c>
    </row>
    <row r="57" customFormat="false" ht="15" hidden="false" customHeight="false" outlineLevel="0" collapsed="false">
      <c r="A57" s="19" t="s">
        <v>201</v>
      </c>
      <c r="B57" s="20" t="s">
        <v>202</v>
      </c>
      <c r="C57" s="19" t="s">
        <v>108</v>
      </c>
      <c r="D57" s="19" t="s">
        <v>75</v>
      </c>
      <c r="E57" s="21" t="n">
        <v>0.15</v>
      </c>
      <c r="F57" s="22" t="n">
        <f aca="false">IF(D57="",0,E57*INDEX(Gangs!$D:$D,MATCH(D57,Gangs!$A:$A,0)))</f>
        <v>7.9663575</v>
      </c>
      <c r="G57" s="19"/>
      <c r="H57" s="21"/>
      <c r="I57" s="19"/>
      <c r="J57" s="21"/>
      <c r="K57" s="19"/>
      <c r="L57" s="21"/>
      <c r="M57" s="22" t="n">
        <f aca="false">IF(G57="",0,H57*INDEX(Materials!$E:$E,MATCH(G57,Materials!$A:$A,0)))+IF(I57="",0,J57*INDEX(Materials!$E:$E,MATCH(I57,Materials!$A:$A,0)))+IF(K57="",0,L57*INDEX(Materials!$E:$E,MATCH(K57,Materials!$A:$A,0)))</f>
        <v>0</v>
      </c>
      <c r="N57" s="23" t="n">
        <v>0</v>
      </c>
      <c r="O57" s="19"/>
      <c r="P57" s="21"/>
      <c r="Q57" s="22" t="n">
        <f aca="false">IF(O57="",0,P57*INDEX(Plant!$D:$D,MATCH(O57,Plant!$A:$A,0)))</f>
        <v>0</v>
      </c>
      <c r="R57" s="24" t="n">
        <f aca="false">F57+M57+N57+Q57</f>
        <v>7.9663575</v>
      </c>
      <c r="S57" s="22" t="n">
        <f aca="false">R57*Settings!$B$4*Settings!$B$9</f>
        <v>7.9663575</v>
      </c>
      <c r="T57" s="24" t="n">
        <f aca="false">S57*(1+Settings!$B$10)</f>
        <v>9.320638275</v>
      </c>
    </row>
    <row r="58" customFormat="false" ht="15" hidden="false" customHeight="false" outlineLevel="0" collapsed="false">
      <c r="A58" s="17" t="s">
        <v>203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</row>
    <row r="59" customFormat="false" ht="15" hidden="false" customHeight="false" outlineLevel="0" collapsed="false">
      <c r="A59" s="19" t="s">
        <v>204</v>
      </c>
      <c r="B59" s="20" t="s">
        <v>205</v>
      </c>
      <c r="C59" s="19" t="s">
        <v>108</v>
      </c>
      <c r="D59" s="19" t="s">
        <v>206</v>
      </c>
      <c r="E59" s="21" t="n">
        <v>0.05</v>
      </c>
      <c r="F59" s="22" t="n">
        <f aca="false">IF(D59="",0,E59*INDEX(Gangs!$D:$D,MATCH(D59,Gangs!$A:$A,0)))</f>
        <v>14.413845</v>
      </c>
      <c r="G59" s="19" t="s">
        <v>207</v>
      </c>
      <c r="H59" s="21" t="n">
        <v>0.053</v>
      </c>
      <c r="I59" s="19"/>
      <c r="J59" s="21"/>
      <c r="K59" s="19"/>
      <c r="L59" s="21"/>
      <c r="M59" s="22" t="n">
        <f aca="false">IF(G59="",0,H59*INDEX(Materials!$E:$E,MATCH(G59,Materials!$A:$A,0)))+IF(I59="",0,J59*INDEX(Materials!$E:$E,MATCH(I59,Materials!$A:$A,0)))+IF(K59="",0,L59*INDEX(Materials!$E:$E,MATCH(K59,Materials!$A:$A,0)))</f>
        <v>80.56</v>
      </c>
      <c r="N59" s="23" t="n">
        <v>0</v>
      </c>
      <c r="O59" s="19"/>
      <c r="P59" s="21"/>
      <c r="Q59" s="22" t="n">
        <f aca="false">IF(O59="",0,P59*INDEX(Plant!$D:$D,MATCH(O59,Plant!$A:$A,0)))</f>
        <v>0</v>
      </c>
      <c r="R59" s="24" t="n">
        <f aca="false">F59+M59+N59+Q59</f>
        <v>94.973845</v>
      </c>
      <c r="S59" s="22" t="n">
        <f aca="false">R59*Settings!$B$4*Settings!$B$9</f>
        <v>94.973845</v>
      </c>
      <c r="T59" s="24" t="n">
        <f aca="false">S59*(1+Settings!$B$10)</f>
        <v>111.11939865</v>
      </c>
    </row>
    <row r="60" customFormat="false" ht="15" hidden="false" customHeight="false" outlineLevel="0" collapsed="false">
      <c r="A60" s="19" t="s">
        <v>208</v>
      </c>
      <c r="B60" s="20" t="s">
        <v>209</v>
      </c>
      <c r="C60" s="19" t="s">
        <v>132</v>
      </c>
      <c r="D60" s="19" t="s">
        <v>206</v>
      </c>
      <c r="E60" s="21" t="n">
        <v>0.8</v>
      </c>
      <c r="F60" s="22" t="n">
        <f aca="false">IF(D60="",0,E60*INDEX(Gangs!$D:$D,MATCH(D60,Gangs!$A:$A,0)))</f>
        <v>230.62152</v>
      </c>
      <c r="G60" s="19" t="s">
        <v>210</v>
      </c>
      <c r="H60" s="21" t="n">
        <v>1.05</v>
      </c>
      <c r="I60" s="19"/>
      <c r="J60" s="21"/>
      <c r="K60" s="19"/>
      <c r="L60" s="21"/>
      <c r="M60" s="22" t="n">
        <f aca="false">IF(G60="",0,H60*INDEX(Materials!$E:$E,MATCH(G60,Materials!$A:$A,0)))+IF(I60="",0,J60*INDEX(Materials!$E:$E,MATCH(I60,Materials!$A:$A,0)))+IF(K60="",0,L60*INDEX(Materials!$E:$E,MATCH(K60,Materials!$A:$A,0)))</f>
        <v>1774.5</v>
      </c>
      <c r="N60" s="23" t="n">
        <v>0</v>
      </c>
      <c r="O60" s="19" t="s">
        <v>211</v>
      </c>
      <c r="P60" s="21" t="n">
        <v>0.05</v>
      </c>
      <c r="Q60" s="22" t="n">
        <f aca="false">IF(O60="",0,P60*INDEX(Plant!$D:$D,MATCH(O60,Plant!$A:$A,0)))</f>
        <v>16</v>
      </c>
      <c r="R60" s="24" t="n">
        <f aca="false">F60+M60+N60+Q60</f>
        <v>2021.12152</v>
      </c>
      <c r="S60" s="22" t="n">
        <f aca="false">R60*Settings!$B$4*Settings!$B$9</f>
        <v>2021.12152</v>
      </c>
      <c r="T60" s="24" t="n">
        <f aca="false">S60*(1+Settings!$B$10)</f>
        <v>2364.7121784</v>
      </c>
    </row>
    <row r="61" customFormat="false" ht="15" hidden="false" customHeight="false" outlineLevel="0" collapsed="false">
      <c r="A61" s="19" t="s">
        <v>212</v>
      </c>
      <c r="B61" s="20" t="s">
        <v>213</v>
      </c>
      <c r="C61" s="19" t="s">
        <v>132</v>
      </c>
      <c r="D61" s="19" t="s">
        <v>206</v>
      </c>
      <c r="E61" s="21" t="n">
        <v>1</v>
      </c>
      <c r="F61" s="22" t="n">
        <f aca="false">IF(D61="",0,E61*INDEX(Gangs!$D:$D,MATCH(D61,Gangs!$A:$A,0)))</f>
        <v>288.2769</v>
      </c>
      <c r="G61" s="19" t="s">
        <v>210</v>
      </c>
      <c r="H61" s="21" t="n">
        <v>1.05</v>
      </c>
      <c r="I61" s="19"/>
      <c r="J61" s="21"/>
      <c r="K61" s="19"/>
      <c r="L61" s="21"/>
      <c r="M61" s="22" t="n">
        <f aca="false">IF(G61="",0,H61*INDEX(Materials!$E:$E,MATCH(G61,Materials!$A:$A,0)))+IF(I61="",0,J61*INDEX(Materials!$E:$E,MATCH(I61,Materials!$A:$A,0)))+IF(K61="",0,L61*INDEX(Materials!$E:$E,MATCH(K61,Materials!$A:$A,0)))</f>
        <v>1774.5</v>
      </c>
      <c r="N61" s="23" t="n">
        <v>0</v>
      </c>
      <c r="O61" s="19" t="s">
        <v>211</v>
      </c>
      <c r="P61" s="21" t="n">
        <v>0.06</v>
      </c>
      <c r="Q61" s="22" t="n">
        <f aca="false">IF(O61="",0,P61*INDEX(Plant!$D:$D,MATCH(O61,Plant!$A:$A,0)))</f>
        <v>19.2</v>
      </c>
      <c r="R61" s="24" t="n">
        <f aca="false">F61+M61+N61+Q61</f>
        <v>2081.9769</v>
      </c>
      <c r="S61" s="22" t="n">
        <f aca="false">R61*Settings!$B$4*Settings!$B$9</f>
        <v>2081.9769</v>
      </c>
      <c r="T61" s="24" t="n">
        <f aca="false">S61*(1+Settings!$B$10)</f>
        <v>2435.912973</v>
      </c>
    </row>
    <row r="62" customFormat="false" ht="15" hidden="false" customHeight="false" outlineLevel="0" collapsed="false">
      <c r="A62" s="19" t="s">
        <v>214</v>
      </c>
      <c r="B62" s="20" t="s">
        <v>215</v>
      </c>
      <c r="C62" s="19" t="s">
        <v>132</v>
      </c>
      <c r="D62" s="19" t="s">
        <v>206</v>
      </c>
      <c r="E62" s="21" t="n">
        <v>1.3</v>
      </c>
      <c r="F62" s="22" t="n">
        <f aca="false">IF(D62="",0,E62*INDEX(Gangs!$D:$D,MATCH(D62,Gangs!$A:$A,0)))</f>
        <v>374.75997</v>
      </c>
      <c r="G62" s="19" t="s">
        <v>210</v>
      </c>
      <c r="H62" s="21" t="n">
        <v>1.05</v>
      </c>
      <c r="I62" s="19"/>
      <c r="J62" s="21"/>
      <c r="K62" s="19"/>
      <c r="L62" s="21"/>
      <c r="M62" s="22" t="n">
        <f aca="false">IF(G62="",0,H62*INDEX(Materials!$E:$E,MATCH(G62,Materials!$A:$A,0)))+IF(I62="",0,J62*INDEX(Materials!$E:$E,MATCH(I62,Materials!$A:$A,0)))+IF(K62="",0,L62*INDEX(Materials!$E:$E,MATCH(K62,Materials!$A:$A,0)))</f>
        <v>1774.5</v>
      </c>
      <c r="N62" s="23" t="n">
        <v>0</v>
      </c>
      <c r="O62" s="19" t="s">
        <v>211</v>
      </c>
      <c r="P62" s="21" t="n">
        <v>0.05</v>
      </c>
      <c r="Q62" s="22" t="n">
        <f aca="false">IF(O62="",0,P62*INDEX(Plant!$D:$D,MATCH(O62,Plant!$A:$A,0)))</f>
        <v>16</v>
      </c>
      <c r="R62" s="24" t="n">
        <f aca="false">F62+M62+N62+Q62</f>
        <v>2165.25997</v>
      </c>
      <c r="S62" s="22" t="n">
        <f aca="false">R62*Settings!$B$4*Settings!$B$9</f>
        <v>2165.25997</v>
      </c>
      <c r="T62" s="24" t="n">
        <f aca="false">S62*(1+Settings!$B$10)</f>
        <v>2533.3541649</v>
      </c>
    </row>
    <row r="63" customFormat="false" ht="15" hidden="false" customHeight="false" outlineLevel="0" collapsed="false">
      <c r="A63" s="19" t="s">
        <v>216</v>
      </c>
      <c r="B63" s="20" t="s">
        <v>217</v>
      </c>
      <c r="C63" s="19" t="s">
        <v>132</v>
      </c>
      <c r="D63" s="19" t="s">
        <v>206</v>
      </c>
      <c r="E63" s="21" t="n">
        <v>1.1</v>
      </c>
      <c r="F63" s="22" t="n">
        <f aca="false">IF(D63="",0,E63*INDEX(Gangs!$D:$D,MATCH(D63,Gangs!$A:$A,0)))</f>
        <v>317.10459</v>
      </c>
      <c r="G63" s="19" t="s">
        <v>210</v>
      </c>
      <c r="H63" s="21" t="n">
        <v>1.05</v>
      </c>
      <c r="I63" s="19"/>
      <c r="J63" s="21"/>
      <c r="K63" s="19"/>
      <c r="L63" s="21"/>
      <c r="M63" s="22" t="n">
        <f aca="false">IF(G63="",0,H63*INDEX(Materials!$E:$E,MATCH(G63,Materials!$A:$A,0)))+IF(I63="",0,J63*INDEX(Materials!$E:$E,MATCH(I63,Materials!$A:$A,0)))+IF(K63="",0,L63*INDEX(Materials!$E:$E,MATCH(K63,Materials!$A:$A,0)))</f>
        <v>1774.5</v>
      </c>
      <c r="N63" s="23" t="n">
        <v>0</v>
      </c>
      <c r="O63" s="19" t="s">
        <v>211</v>
      </c>
      <c r="P63" s="21" t="n">
        <v>0.06</v>
      </c>
      <c r="Q63" s="22" t="n">
        <f aca="false">IF(O63="",0,P63*INDEX(Plant!$D:$D,MATCH(O63,Plant!$A:$A,0)))</f>
        <v>19.2</v>
      </c>
      <c r="R63" s="24" t="n">
        <f aca="false">F63+M63+N63+Q63</f>
        <v>2110.80459</v>
      </c>
      <c r="S63" s="22" t="n">
        <f aca="false">R63*Settings!$B$4*Settings!$B$9</f>
        <v>2110.80459</v>
      </c>
      <c r="T63" s="24" t="n">
        <f aca="false">S63*(1+Settings!$B$10)</f>
        <v>2469.6413703</v>
      </c>
    </row>
    <row r="64" customFormat="false" ht="15" hidden="false" customHeight="false" outlineLevel="0" collapsed="false">
      <c r="A64" s="19" t="s">
        <v>218</v>
      </c>
      <c r="B64" s="20" t="s">
        <v>219</v>
      </c>
      <c r="C64" s="19" t="s">
        <v>132</v>
      </c>
      <c r="D64" s="19" t="s">
        <v>206</v>
      </c>
      <c r="E64" s="21" t="n">
        <v>1.4</v>
      </c>
      <c r="F64" s="22" t="n">
        <f aca="false">IF(D64="",0,E64*INDEX(Gangs!$D:$D,MATCH(D64,Gangs!$A:$A,0)))</f>
        <v>403.58766</v>
      </c>
      <c r="G64" s="19" t="s">
        <v>220</v>
      </c>
      <c r="H64" s="21" t="n">
        <v>1.05</v>
      </c>
      <c r="I64" s="19"/>
      <c r="J64" s="21"/>
      <c r="K64" s="19"/>
      <c r="L64" s="21"/>
      <c r="M64" s="22" t="n">
        <f aca="false">IF(G64="",0,H64*INDEX(Materials!$E:$E,MATCH(G64,Materials!$A:$A,0)))+IF(I64="",0,J64*INDEX(Materials!$E:$E,MATCH(I64,Materials!$A:$A,0)))+IF(K64="",0,L64*INDEX(Materials!$E:$E,MATCH(K64,Materials!$A:$A,0)))</f>
        <v>1890</v>
      </c>
      <c r="N64" s="23" t="n">
        <v>0</v>
      </c>
      <c r="O64" s="19" t="s">
        <v>221</v>
      </c>
      <c r="P64" s="21" t="n">
        <v>1</v>
      </c>
      <c r="Q64" s="22" t="n">
        <f aca="false">IF(O64="",0,P64*INDEX(Plant!$D:$D,MATCH(O64,Plant!$A:$A,0)))</f>
        <v>170</v>
      </c>
      <c r="R64" s="24" t="n">
        <f aca="false">F64+M64+N64+Q64</f>
        <v>2463.58766</v>
      </c>
      <c r="S64" s="22" t="n">
        <f aca="false">R64*Settings!$B$4*Settings!$B$9</f>
        <v>2463.58766</v>
      </c>
      <c r="T64" s="24" t="n">
        <f aca="false">S64*(1+Settings!$B$10)</f>
        <v>2882.3975622</v>
      </c>
    </row>
    <row r="65" customFormat="false" ht="15" hidden="false" customHeight="false" outlineLevel="0" collapsed="false">
      <c r="A65" s="19" t="s">
        <v>222</v>
      </c>
      <c r="B65" s="20" t="s">
        <v>223</v>
      </c>
      <c r="C65" s="19" t="s">
        <v>132</v>
      </c>
      <c r="D65" s="19" t="s">
        <v>206</v>
      </c>
      <c r="E65" s="21" t="n">
        <v>1.8</v>
      </c>
      <c r="F65" s="22" t="n">
        <f aca="false">IF(D65="",0,E65*INDEX(Gangs!$D:$D,MATCH(D65,Gangs!$A:$A,0)))</f>
        <v>518.89842</v>
      </c>
      <c r="G65" s="19" t="s">
        <v>220</v>
      </c>
      <c r="H65" s="21" t="n">
        <v>1.05</v>
      </c>
      <c r="I65" s="19"/>
      <c r="J65" s="21"/>
      <c r="K65" s="19"/>
      <c r="L65" s="21"/>
      <c r="M65" s="22" t="n">
        <f aca="false">IF(G65="",0,H65*INDEX(Materials!$E:$E,MATCH(G65,Materials!$A:$A,0)))+IF(I65="",0,J65*INDEX(Materials!$E:$E,MATCH(I65,Materials!$A:$A,0)))+IF(K65="",0,L65*INDEX(Materials!$E:$E,MATCH(K65,Materials!$A:$A,0)))</f>
        <v>1890</v>
      </c>
      <c r="N65" s="23" t="n">
        <v>0</v>
      </c>
      <c r="O65" s="19" t="s">
        <v>221</v>
      </c>
      <c r="P65" s="21" t="n">
        <v>1</v>
      </c>
      <c r="Q65" s="22" t="n">
        <f aca="false">IF(O65="",0,P65*INDEX(Plant!$D:$D,MATCH(O65,Plant!$A:$A,0)))</f>
        <v>170</v>
      </c>
      <c r="R65" s="24" t="n">
        <f aca="false">F65+M65+N65+Q65</f>
        <v>2578.89842</v>
      </c>
      <c r="S65" s="22" t="n">
        <f aca="false">R65*Settings!$B$4*Settings!$B$9</f>
        <v>2578.89842</v>
      </c>
      <c r="T65" s="24" t="n">
        <f aca="false">S65*(1+Settings!$B$10)</f>
        <v>3017.3111514</v>
      </c>
    </row>
    <row r="66" customFormat="false" ht="15" hidden="false" customHeight="false" outlineLevel="0" collapsed="false">
      <c r="A66" s="19" t="s">
        <v>224</v>
      </c>
      <c r="B66" s="20" t="s">
        <v>225</v>
      </c>
      <c r="C66" s="19" t="s">
        <v>132</v>
      </c>
      <c r="D66" s="19" t="s">
        <v>206</v>
      </c>
      <c r="E66" s="21" t="n">
        <v>2.2</v>
      </c>
      <c r="F66" s="22" t="n">
        <f aca="false">IF(D66="",0,E66*INDEX(Gangs!$D:$D,MATCH(D66,Gangs!$A:$A,0)))</f>
        <v>634.20918</v>
      </c>
      <c r="G66" s="19" t="s">
        <v>220</v>
      </c>
      <c r="H66" s="21" t="n">
        <v>1.05</v>
      </c>
      <c r="I66" s="19"/>
      <c r="J66" s="21"/>
      <c r="K66" s="19"/>
      <c r="L66" s="21"/>
      <c r="M66" s="22" t="n">
        <f aca="false">IF(G66="",0,H66*INDEX(Materials!$E:$E,MATCH(G66,Materials!$A:$A,0)))+IF(I66="",0,J66*INDEX(Materials!$E:$E,MATCH(I66,Materials!$A:$A,0)))+IF(K66="",0,L66*INDEX(Materials!$E:$E,MATCH(K66,Materials!$A:$A,0)))</f>
        <v>1890</v>
      </c>
      <c r="N66" s="23" t="n">
        <v>0</v>
      </c>
      <c r="O66" s="19" t="s">
        <v>221</v>
      </c>
      <c r="P66" s="21" t="n">
        <v>1</v>
      </c>
      <c r="Q66" s="22" t="n">
        <f aca="false">IF(O66="",0,P66*INDEX(Plant!$D:$D,MATCH(O66,Plant!$A:$A,0)))</f>
        <v>170</v>
      </c>
      <c r="R66" s="24" t="n">
        <f aca="false">F66+M66+N66+Q66</f>
        <v>2694.20918</v>
      </c>
      <c r="S66" s="22" t="n">
        <f aca="false">R66*Settings!$B$4*Settings!$B$9</f>
        <v>2694.20918</v>
      </c>
      <c r="T66" s="24" t="n">
        <f aca="false">S66*(1+Settings!$B$10)</f>
        <v>3152.2247406</v>
      </c>
    </row>
    <row r="67" customFormat="false" ht="15" hidden="false" customHeight="false" outlineLevel="0" collapsed="false">
      <c r="A67" s="19" t="s">
        <v>226</v>
      </c>
      <c r="B67" s="20" t="s">
        <v>227</v>
      </c>
      <c r="C67" s="19" t="s">
        <v>132</v>
      </c>
      <c r="D67" s="19" t="s">
        <v>206</v>
      </c>
      <c r="E67" s="21" t="n">
        <v>2.5</v>
      </c>
      <c r="F67" s="22" t="n">
        <f aca="false">IF(D67="",0,E67*INDEX(Gangs!$D:$D,MATCH(D67,Gangs!$A:$A,0)))</f>
        <v>720.69225</v>
      </c>
      <c r="G67" s="19" t="s">
        <v>228</v>
      </c>
      <c r="H67" s="21" t="n">
        <v>1.05</v>
      </c>
      <c r="I67" s="19"/>
      <c r="J67" s="21"/>
      <c r="K67" s="19"/>
      <c r="L67" s="21"/>
      <c r="M67" s="22" t="n">
        <f aca="false">IF(G67="",0,H67*INDEX(Materials!$E:$E,MATCH(G67,Materials!$A:$A,0)))+IF(I67="",0,J67*INDEX(Materials!$E:$E,MATCH(I67,Materials!$A:$A,0)))+IF(K67="",0,L67*INDEX(Materials!$E:$E,MATCH(K67,Materials!$A:$A,0)))</f>
        <v>1488.9</v>
      </c>
      <c r="N67" s="23" t="n">
        <v>0</v>
      </c>
      <c r="O67" s="19" t="s">
        <v>229</v>
      </c>
      <c r="P67" s="21" t="n">
        <v>0.15</v>
      </c>
      <c r="Q67" s="22" t="n">
        <f aca="false">IF(O67="",0,P67*INDEX(Plant!$D:$D,MATCH(O67,Plant!$A:$A,0)))</f>
        <v>45</v>
      </c>
      <c r="R67" s="24" t="n">
        <f aca="false">F67+M67+N67+Q67</f>
        <v>2254.59225</v>
      </c>
      <c r="S67" s="22" t="n">
        <f aca="false">R67*Settings!$B$4*Settings!$B$9</f>
        <v>2254.59225</v>
      </c>
      <c r="T67" s="24" t="n">
        <f aca="false">S67*(1+Settings!$B$10)</f>
        <v>2637.8729325</v>
      </c>
    </row>
    <row r="68" customFormat="false" ht="15" hidden="false" customHeight="false" outlineLevel="0" collapsed="false">
      <c r="A68" s="19" t="s">
        <v>230</v>
      </c>
      <c r="B68" s="20" t="s">
        <v>231</v>
      </c>
      <c r="C68" s="19" t="s">
        <v>132</v>
      </c>
      <c r="D68" s="19" t="s">
        <v>206</v>
      </c>
      <c r="E68" s="21" t="n">
        <v>2.8</v>
      </c>
      <c r="F68" s="22" t="n">
        <f aca="false">IF(D68="",0,E68*INDEX(Gangs!$D:$D,MATCH(D68,Gangs!$A:$A,0)))</f>
        <v>807.17532</v>
      </c>
      <c r="G68" s="19" t="s">
        <v>228</v>
      </c>
      <c r="H68" s="21" t="n">
        <v>1.05</v>
      </c>
      <c r="I68" s="19"/>
      <c r="J68" s="21"/>
      <c r="K68" s="19"/>
      <c r="L68" s="21"/>
      <c r="M68" s="22" t="n">
        <f aca="false">IF(G68="",0,H68*INDEX(Materials!$E:$E,MATCH(G68,Materials!$A:$A,0)))+IF(I68="",0,J68*INDEX(Materials!$E:$E,MATCH(I68,Materials!$A:$A,0)))+IF(K68="",0,L68*INDEX(Materials!$E:$E,MATCH(K68,Materials!$A:$A,0)))</f>
        <v>1488.9</v>
      </c>
      <c r="N68" s="23" t="n">
        <v>0</v>
      </c>
      <c r="O68" s="19" t="s">
        <v>229</v>
      </c>
      <c r="P68" s="21" t="n">
        <v>0.15</v>
      </c>
      <c r="Q68" s="22" t="n">
        <f aca="false">IF(O68="",0,P68*INDEX(Plant!$D:$D,MATCH(O68,Plant!$A:$A,0)))</f>
        <v>45</v>
      </c>
      <c r="R68" s="24" t="n">
        <f aca="false">F68+M68+N68+Q68</f>
        <v>2341.07532</v>
      </c>
      <c r="S68" s="22" t="n">
        <f aca="false">R68*Settings!$B$4*Settings!$B$9</f>
        <v>2341.07532</v>
      </c>
      <c r="T68" s="24" t="n">
        <f aca="false">S68*(1+Settings!$B$10)</f>
        <v>2739.0581244</v>
      </c>
    </row>
    <row r="69" customFormat="false" ht="15" hidden="false" customHeight="false" outlineLevel="0" collapsed="false">
      <c r="A69" s="19" t="s">
        <v>232</v>
      </c>
      <c r="B69" s="20" t="s">
        <v>233</v>
      </c>
      <c r="C69" s="19" t="s">
        <v>108</v>
      </c>
      <c r="D69" s="19" t="s">
        <v>206</v>
      </c>
      <c r="E69" s="21" t="n">
        <v>0.2</v>
      </c>
      <c r="F69" s="22" t="n">
        <f aca="false">IF(D69="",0,E69*INDEX(Gangs!$D:$D,MATCH(D69,Gangs!$A:$A,0)))</f>
        <v>57.65538</v>
      </c>
      <c r="G69" s="19" t="s">
        <v>210</v>
      </c>
      <c r="H69" s="21" t="n">
        <v>0.105</v>
      </c>
      <c r="I69" s="19"/>
      <c r="J69" s="21"/>
      <c r="K69" s="19"/>
      <c r="L69" s="21"/>
      <c r="M69" s="22" t="n">
        <f aca="false">IF(G69="",0,H69*INDEX(Materials!$E:$E,MATCH(G69,Materials!$A:$A,0)))+IF(I69="",0,J69*INDEX(Materials!$E:$E,MATCH(I69,Materials!$A:$A,0)))+IF(K69="",0,L69*INDEX(Materials!$E:$E,MATCH(K69,Materials!$A:$A,0)))</f>
        <v>177.45</v>
      </c>
      <c r="N69" s="23" t="n">
        <v>4</v>
      </c>
      <c r="O69" s="19"/>
      <c r="P69" s="21"/>
      <c r="Q69" s="22" t="n">
        <f aca="false">IF(O69="",0,P69*INDEX(Plant!$D:$D,MATCH(O69,Plant!$A:$A,0)))</f>
        <v>0</v>
      </c>
      <c r="R69" s="24" t="n">
        <f aca="false">F69+M69+N69+Q69</f>
        <v>239.10538</v>
      </c>
      <c r="S69" s="22" t="n">
        <f aca="false">R69*Settings!$B$4*Settings!$B$9</f>
        <v>239.10538</v>
      </c>
      <c r="T69" s="24" t="n">
        <f aca="false">S69*(1+Settings!$B$10)</f>
        <v>279.7532946</v>
      </c>
    </row>
    <row r="70" customFormat="false" ht="15" hidden="false" customHeight="false" outlineLevel="0" collapsed="false">
      <c r="A70" s="19" t="s">
        <v>234</v>
      </c>
      <c r="B70" s="20" t="s">
        <v>235</v>
      </c>
      <c r="C70" s="19" t="s">
        <v>108</v>
      </c>
      <c r="D70" s="19" t="s">
        <v>236</v>
      </c>
      <c r="E70" s="21" t="n">
        <v>0.12</v>
      </c>
      <c r="F70" s="22" t="n">
        <f aca="false">IF(D70="",0,E70*INDEX(Gangs!$D:$D,MATCH(D70,Gangs!$A:$A,0)))</f>
        <v>19.934976</v>
      </c>
      <c r="G70" s="19"/>
      <c r="H70" s="21"/>
      <c r="I70" s="19"/>
      <c r="J70" s="21"/>
      <c r="K70" s="19"/>
      <c r="L70" s="21"/>
      <c r="M70" s="22" t="n">
        <f aca="false">IF(G70="",0,H70*INDEX(Materials!$E:$E,MATCH(G70,Materials!$A:$A,0)))+IF(I70="",0,J70*INDEX(Materials!$E:$E,MATCH(I70,Materials!$A:$A,0)))+IF(K70="",0,L70*INDEX(Materials!$E:$E,MATCH(K70,Materials!$A:$A,0)))</f>
        <v>0</v>
      </c>
      <c r="N70" s="23" t="n">
        <v>0</v>
      </c>
      <c r="O70" s="19"/>
      <c r="P70" s="21"/>
      <c r="Q70" s="22" t="n">
        <f aca="false">IF(O70="",0,P70*INDEX(Plant!$D:$D,MATCH(O70,Plant!$A:$A,0)))</f>
        <v>0</v>
      </c>
      <c r="R70" s="24" t="n">
        <f aca="false">F70+M70+N70+Q70</f>
        <v>19.934976</v>
      </c>
      <c r="S70" s="22" t="n">
        <f aca="false">R70*Settings!$B$4*Settings!$B$9</f>
        <v>19.934976</v>
      </c>
      <c r="T70" s="24" t="n">
        <f aca="false">S70*(1+Settings!$B$10)</f>
        <v>23.32392192</v>
      </c>
    </row>
    <row r="71" customFormat="false" ht="15" hidden="false" customHeight="false" outlineLevel="0" collapsed="false">
      <c r="A71" s="19" t="s">
        <v>237</v>
      </c>
      <c r="B71" s="20" t="s">
        <v>238</v>
      </c>
      <c r="C71" s="19" t="s">
        <v>108</v>
      </c>
      <c r="D71" s="19" t="s">
        <v>236</v>
      </c>
      <c r="E71" s="21" t="n">
        <v>0.06</v>
      </c>
      <c r="F71" s="22" t="n">
        <f aca="false">IF(D71="",0,E71*INDEX(Gangs!$D:$D,MATCH(D71,Gangs!$A:$A,0)))</f>
        <v>9.967488</v>
      </c>
      <c r="G71" s="19"/>
      <c r="H71" s="21"/>
      <c r="I71" s="19"/>
      <c r="J71" s="21"/>
      <c r="K71" s="19"/>
      <c r="L71" s="21"/>
      <c r="M71" s="22" t="n">
        <f aca="false">IF(G71="",0,H71*INDEX(Materials!$E:$E,MATCH(G71,Materials!$A:$A,0)))+IF(I71="",0,J71*INDEX(Materials!$E:$E,MATCH(I71,Materials!$A:$A,0)))+IF(K71="",0,L71*INDEX(Materials!$E:$E,MATCH(K71,Materials!$A:$A,0)))</f>
        <v>0</v>
      </c>
      <c r="N71" s="23" t="n">
        <v>0</v>
      </c>
      <c r="O71" s="19" t="s">
        <v>239</v>
      </c>
      <c r="P71" s="21" t="n">
        <v>0.007</v>
      </c>
      <c r="Q71" s="22" t="n">
        <f aca="false">IF(O71="",0,P71*INDEX(Plant!$D:$D,MATCH(O71,Plant!$A:$A,0)))</f>
        <v>4.2</v>
      </c>
      <c r="R71" s="24" t="n">
        <f aca="false">F71+M71+N71+Q71</f>
        <v>14.167488</v>
      </c>
      <c r="S71" s="22" t="n">
        <f aca="false">R71*Settings!$B$4*Settings!$B$9</f>
        <v>14.167488</v>
      </c>
      <c r="T71" s="24" t="n">
        <f aca="false">S71*(1+Settings!$B$10)</f>
        <v>16.57596096</v>
      </c>
    </row>
    <row r="72" customFormat="false" ht="15" hidden="false" customHeight="false" outlineLevel="0" collapsed="false">
      <c r="A72" s="19" t="s">
        <v>240</v>
      </c>
      <c r="B72" s="20" t="s">
        <v>241</v>
      </c>
      <c r="C72" s="19" t="s">
        <v>108</v>
      </c>
      <c r="D72" s="19" t="s">
        <v>75</v>
      </c>
      <c r="E72" s="21" t="n">
        <v>0.03</v>
      </c>
      <c r="F72" s="22" t="n">
        <f aca="false">IF(D72="",0,E72*INDEX(Gangs!$D:$D,MATCH(D72,Gangs!$A:$A,0)))</f>
        <v>1.5932715</v>
      </c>
      <c r="G72" s="19" t="s">
        <v>242</v>
      </c>
      <c r="H72" s="21" t="n">
        <v>1.15</v>
      </c>
      <c r="I72" s="19"/>
      <c r="J72" s="21"/>
      <c r="K72" s="19"/>
      <c r="L72" s="21"/>
      <c r="M72" s="22" t="n">
        <f aca="false">IF(G72="",0,H72*INDEX(Materials!$E:$E,MATCH(G72,Materials!$A:$A,0)))+IF(I72="",0,J72*INDEX(Materials!$E:$E,MATCH(I72,Materials!$A:$A,0)))+IF(K72="",0,L72*INDEX(Materials!$E:$E,MATCH(K72,Materials!$A:$A,0)))</f>
        <v>8.625</v>
      </c>
      <c r="N72" s="23" t="n">
        <v>1</v>
      </c>
      <c r="O72" s="19"/>
      <c r="P72" s="21"/>
      <c r="Q72" s="22" t="n">
        <f aca="false">IF(O72="",0,P72*INDEX(Plant!$D:$D,MATCH(O72,Plant!$A:$A,0)))</f>
        <v>0</v>
      </c>
      <c r="R72" s="24" t="n">
        <f aca="false">F72+M72+N72+Q72</f>
        <v>11.2182715</v>
      </c>
      <c r="S72" s="22" t="n">
        <f aca="false">R72*Settings!$B$4*Settings!$B$9</f>
        <v>11.2182715</v>
      </c>
      <c r="T72" s="24" t="n">
        <f aca="false">S72*(1+Settings!$B$10)</f>
        <v>13.125377655</v>
      </c>
    </row>
    <row r="73" customFormat="false" ht="15" hidden="false" customHeight="false" outlineLevel="0" collapsed="false">
      <c r="A73" s="19" t="s">
        <v>243</v>
      </c>
      <c r="B73" s="20" t="s">
        <v>244</v>
      </c>
      <c r="C73" s="19" t="s">
        <v>108</v>
      </c>
      <c r="D73" s="19" t="s">
        <v>245</v>
      </c>
      <c r="E73" s="21" t="n">
        <v>0.9</v>
      </c>
      <c r="F73" s="22" t="n">
        <f aca="false">IF(D73="",0,E73*INDEX(Gangs!$D:$D,MATCH(D73,Gangs!$A:$A,0)))</f>
        <v>149.51232</v>
      </c>
      <c r="G73" s="19" t="s">
        <v>246</v>
      </c>
      <c r="H73" s="21" t="n">
        <v>0.6</v>
      </c>
      <c r="I73" s="19"/>
      <c r="J73" s="21"/>
      <c r="K73" s="19"/>
      <c r="L73" s="21"/>
      <c r="M73" s="22" t="n">
        <f aca="false">IF(G73="",0,H73*INDEX(Materials!$E:$E,MATCH(G73,Materials!$A:$A,0)))+IF(I73="",0,J73*INDEX(Materials!$E:$E,MATCH(I73,Materials!$A:$A,0)))+IF(K73="",0,L73*INDEX(Materials!$E:$E,MATCH(K73,Materials!$A:$A,0)))</f>
        <v>52.8</v>
      </c>
      <c r="N73" s="23" t="n">
        <v>0</v>
      </c>
      <c r="O73" s="19"/>
      <c r="P73" s="21"/>
      <c r="Q73" s="22" t="n">
        <f aca="false">IF(O73="",0,P73*INDEX(Plant!$D:$D,MATCH(O73,Plant!$A:$A,0)))</f>
        <v>0</v>
      </c>
      <c r="R73" s="24" t="n">
        <f aca="false">F73+M73+N73+Q73</f>
        <v>202.31232</v>
      </c>
      <c r="S73" s="22" t="n">
        <f aca="false">R73*Settings!$B$4*Settings!$B$9</f>
        <v>202.31232</v>
      </c>
      <c r="T73" s="24" t="n">
        <f aca="false">S73*(1+Settings!$B$10)</f>
        <v>236.7054144</v>
      </c>
    </row>
    <row r="74" customFormat="false" ht="15" hidden="false" customHeight="false" outlineLevel="0" collapsed="false">
      <c r="A74" s="19" t="s">
        <v>247</v>
      </c>
      <c r="B74" s="20" t="s">
        <v>248</v>
      </c>
      <c r="C74" s="19" t="s">
        <v>108</v>
      </c>
      <c r="D74" s="19" t="s">
        <v>245</v>
      </c>
      <c r="E74" s="21" t="n">
        <v>1.5</v>
      </c>
      <c r="F74" s="22" t="n">
        <f aca="false">IF(D74="",0,E74*INDEX(Gangs!$D:$D,MATCH(D74,Gangs!$A:$A,0)))</f>
        <v>249.1872</v>
      </c>
      <c r="G74" s="19" t="s">
        <v>246</v>
      </c>
      <c r="H74" s="21" t="n">
        <v>1</v>
      </c>
      <c r="I74" s="19"/>
      <c r="J74" s="21"/>
      <c r="K74" s="19"/>
      <c r="L74" s="21"/>
      <c r="M74" s="22" t="n">
        <f aca="false">IF(G74="",0,H74*INDEX(Materials!$E:$E,MATCH(G74,Materials!$A:$A,0)))+IF(I74="",0,J74*INDEX(Materials!$E:$E,MATCH(I74,Materials!$A:$A,0)))+IF(K74="",0,L74*INDEX(Materials!$E:$E,MATCH(K74,Materials!$A:$A,0)))</f>
        <v>88</v>
      </c>
      <c r="N74" s="23" t="n">
        <v>20</v>
      </c>
      <c r="O74" s="19"/>
      <c r="P74" s="21"/>
      <c r="Q74" s="22" t="n">
        <f aca="false">IF(O74="",0,P74*INDEX(Plant!$D:$D,MATCH(O74,Plant!$A:$A,0)))</f>
        <v>0</v>
      </c>
      <c r="R74" s="24" t="n">
        <f aca="false">F74+M74+N74+Q74</f>
        <v>357.1872</v>
      </c>
      <c r="S74" s="22" t="n">
        <f aca="false">R74*Settings!$B$4*Settings!$B$9</f>
        <v>357.1872</v>
      </c>
      <c r="T74" s="24" t="n">
        <f aca="false">S74*(1+Settings!$B$10)</f>
        <v>417.909024</v>
      </c>
    </row>
    <row r="75" customFormat="false" ht="15" hidden="false" customHeight="false" outlineLevel="0" collapsed="false">
      <c r="A75" s="19" t="s">
        <v>249</v>
      </c>
      <c r="B75" s="20" t="s">
        <v>250</v>
      </c>
      <c r="C75" s="19" t="s">
        <v>108</v>
      </c>
      <c r="D75" s="19" t="s">
        <v>245</v>
      </c>
      <c r="E75" s="21" t="n">
        <v>1.3</v>
      </c>
      <c r="F75" s="22" t="n">
        <f aca="false">IF(D75="",0,E75*INDEX(Gangs!$D:$D,MATCH(D75,Gangs!$A:$A,0)))</f>
        <v>215.96224</v>
      </c>
      <c r="G75" s="19" t="s">
        <v>246</v>
      </c>
      <c r="H75" s="21" t="n">
        <v>1</v>
      </c>
      <c r="I75" s="19"/>
      <c r="J75" s="21"/>
      <c r="K75" s="19"/>
      <c r="L75" s="21"/>
      <c r="M75" s="22" t="n">
        <f aca="false">IF(G75="",0,H75*INDEX(Materials!$E:$E,MATCH(G75,Materials!$A:$A,0)))+IF(I75="",0,J75*INDEX(Materials!$E:$E,MATCH(I75,Materials!$A:$A,0)))+IF(K75="",0,L75*INDEX(Materials!$E:$E,MATCH(K75,Materials!$A:$A,0)))</f>
        <v>88</v>
      </c>
      <c r="N75" s="23" t="n">
        <v>0</v>
      </c>
      <c r="O75" s="19" t="s">
        <v>251</v>
      </c>
      <c r="P75" s="21" t="n">
        <v>1</v>
      </c>
      <c r="Q75" s="22" t="n">
        <f aca="false">IF(O75="",0,P75*INDEX(Plant!$D:$D,MATCH(O75,Plant!$A:$A,0)))</f>
        <v>45</v>
      </c>
      <c r="R75" s="24" t="n">
        <f aca="false">F75+M75+N75+Q75</f>
        <v>348.96224</v>
      </c>
      <c r="S75" s="22" t="n">
        <f aca="false">R75*Settings!$B$4*Settings!$B$9</f>
        <v>348.96224</v>
      </c>
      <c r="T75" s="24" t="n">
        <f aca="false">S75*(1+Settings!$B$10)</f>
        <v>408.2858208</v>
      </c>
    </row>
    <row r="76" customFormat="false" ht="15" hidden="false" customHeight="false" outlineLevel="0" collapsed="false">
      <c r="A76" s="19" t="s">
        <v>252</v>
      </c>
      <c r="B76" s="20" t="s">
        <v>253</v>
      </c>
      <c r="C76" s="19" t="s">
        <v>108</v>
      </c>
      <c r="D76" s="19" t="s">
        <v>245</v>
      </c>
      <c r="E76" s="21" t="n">
        <v>1.8</v>
      </c>
      <c r="F76" s="22" t="n">
        <f aca="false">IF(D76="",0,E76*INDEX(Gangs!$D:$D,MATCH(D76,Gangs!$A:$A,0)))</f>
        <v>299.02464</v>
      </c>
      <c r="G76" s="19" t="s">
        <v>246</v>
      </c>
      <c r="H76" s="21" t="n">
        <v>1.1</v>
      </c>
      <c r="I76" s="19"/>
      <c r="J76" s="21"/>
      <c r="K76" s="19"/>
      <c r="L76" s="21"/>
      <c r="M76" s="22" t="n">
        <f aca="false">IF(G76="",0,H76*INDEX(Materials!$E:$E,MATCH(G76,Materials!$A:$A,0)))+IF(I76="",0,J76*INDEX(Materials!$E:$E,MATCH(I76,Materials!$A:$A,0)))+IF(K76="",0,L76*INDEX(Materials!$E:$E,MATCH(K76,Materials!$A:$A,0)))</f>
        <v>96.8</v>
      </c>
      <c r="N76" s="23" t="n">
        <v>0</v>
      </c>
      <c r="O76" s="19"/>
      <c r="P76" s="21"/>
      <c r="Q76" s="22" t="n">
        <f aca="false">IF(O76="",0,P76*INDEX(Plant!$D:$D,MATCH(O76,Plant!$A:$A,0)))</f>
        <v>0</v>
      </c>
      <c r="R76" s="24" t="n">
        <f aca="false">F76+M76+N76+Q76</f>
        <v>395.82464</v>
      </c>
      <c r="S76" s="22" t="n">
        <f aca="false">R76*Settings!$B$4*Settings!$B$9</f>
        <v>395.82464</v>
      </c>
      <c r="T76" s="24" t="n">
        <f aca="false">S76*(1+Settings!$B$10)</f>
        <v>463.1148288</v>
      </c>
    </row>
    <row r="77" customFormat="false" ht="15" hidden="false" customHeight="false" outlineLevel="0" collapsed="false">
      <c r="A77" s="19" t="s">
        <v>254</v>
      </c>
      <c r="B77" s="20" t="s">
        <v>255</v>
      </c>
      <c r="C77" s="19" t="s">
        <v>256</v>
      </c>
      <c r="D77" s="19" t="s">
        <v>245</v>
      </c>
      <c r="E77" s="21" t="n">
        <v>0.35</v>
      </c>
      <c r="F77" s="22" t="n">
        <f aca="false">IF(D77="",0,E77*INDEX(Gangs!$D:$D,MATCH(D77,Gangs!$A:$A,0)))</f>
        <v>58.14368</v>
      </c>
      <c r="G77" s="19" t="s">
        <v>246</v>
      </c>
      <c r="H77" s="21" t="n">
        <v>0.3</v>
      </c>
      <c r="I77" s="19"/>
      <c r="J77" s="21"/>
      <c r="K77" s="19"/>
      <c r="L77" s="21"/>
      <c r="M77" s="22" t="n">
        <f aca="false">IF(G77="",0,H77*INDEX(Materials!$E:$E,MATCH(G77,Materials!$A:$A,0)))+IF(I77="",0,J77*INDEX(Materials!$E:$E,MATCH(I77,Materials!$A:$A,0)))+IF(K77="",0,L77*INDEX(Materials!$E:$E,MATCH(K77,Materials!$A:$A,0)))</f>
        <v>26.4</v>
      </c>
      <c r="N77" s="23" t="n">
        <v>0</v>
      </c>
      <c r="O77" s="19"/>
      <c r="P77" s="21"/>
      <c r="Q77" s="22" t="n">
        <f aca="false">IF(O77="",0,P77*INDEX(Plant!$D:$D,MATCH(O77,Plant!$A:$A,0)))</f>
        <v>0</v>
      </c>
      <c r="R77" s="24" t="n">
        <f aca="false">F77+M77+N77+Q77</f>
        <v>84.54368</v>
      </c>
      <c r="S77" s="22" t="n">
        <f aca="false">R77*Settings!$B$4*Settings!$B$9</f>
        <v>84.54368</v>
      </c>
      <c r="T77" s="24" t="n">
        <f aca="false">S77*(1+Settings!$B$10)</f>
        <v>98.9161056</v>
      </c>
    </row>
    <row r="78" customFormat="false" ht="15" hidden="false" customHeight="false" outlineLevel="0" collapsed="false">
      <c r="A78" s="19" t="s">
        <v>257</v>
      </c>
      <c r="B78" s="20" t="s">
        <v>258</v>
      </c>
      <c r="C78" s="19" t="s">
        <v>259</v>
      </c>
      <c r="D78" s="19" t="s">
        <v>260</v>
      </c>
      <c r="E78" s="21" t="n">
        <v>32</v>
      </c>
      <c r="F78" s="22" t="n">
        <f aca="false">IF(D78="",0,E78*INDEX(Gangs!$D:$D,MATCH(D78,Gangs!$A:$A,0)))</f>
        <v>5315.9936</v>
      </c>
      <c r="G78" s="19" t="s">
        <v>261</v>
      </c>
      <c r="H78" s="21" t="n">
        <v>1.03</v>
      </c>
      <c r="I78" s="19" t="s">
        <v>262</v>
      </c>
      <c r="J78" s="21" t="n">
        <v>8</v>
      </c>
      <c r="K78" s="19"/>
      <c r="L78" s="21"/>
      <c r="M78" s="22" t="n">
        <f aca="false">IF(G78="",0,H78*INDEX(Materials!$E:$E,MATCH(G78,Materials!$A:$A,0)))+IF(I78="",0,J78*INDEX(Materials!$E:$E,MATCH(I78,Materials!$A:$A,0)))+IF(K78="",0,L78*INDEX(Materials!$E:$E,MATCH(K78,Materials!$A:$A,0)))</f>
        <v>20730</v>
      </c>
      <c r="N78" s="23" t="n">
        <v>0</v>
      </c>
      <c r="O78" s="19"/>
      <c r="P78" s="21"/>
      <c r="Q78" s="22" t="n">
        <f aca="false">IF(O78="",0,P78*INDEX(Plant!$D:$D,MATCH(O78,Plant!$A:$A,0)))</f>
        <v>0</v>
      </c>
      <c r="R78" s="24" t="n">
        <f aca="false">F78+M78+N78+Q78</f>
        <v>26045.9936</v>
      </c>
      <c r="S78" s="22" t="n">
        <f aca="false">R78*Settings!$B$4*Settings!$B$9</f>
        <v>26045.9936</v>
      </c>
      <c r="T78" s="24" t="n">
        <f aca="false">S78*(1+Settings!$B$10)</f>
        <v>30473.812512</v>
      </c>
    </row>
    <row r="79" customFormat="false" ht="15" hidden="false" customHeight="false" outlineLevel="0" collapsed="false">
      <c r="A79" s="19" t="s">
        <v>263</v>
      </c>
      <c r="B79" s="20" t="s">
        <v>264</v>
      </c>
      <c r="C79" s="19" t="s">
        <v>259</v>
      </c>
      <c r="D79" s="19" t="s">
        <v>260</v>
      </c>
      <c r="E79" s="21" t="n">
        <v>24</v>
      </c>
      <c r="F79" s="22" t="n">
        <f aca="false">IF(D79="",0,E79*INDEX(Gangs!$D:$D,MATCH(D79,Gangs!$A:$A,0)))</f>
        <v>3986.9952</v>
      </c>
      <c r="G79" s="19" t="s">
        <v>261</v>
      </c>
      <c r="H79" s="21" t="n">
        <v>1.03</v>
      </c>
      <c r="I79" s="19" t="s">
        <v>262</v>
      </c>
      <c r="J79" s="21" t="n">
        <v>6</v>
      </c>
      <c r="K79" s="19"/>
      <c r="L79" s="21"/>
      <c r="M79" s="22" t="n">
        <f aca="false">IF(G79="",0,H79*INDEX(Materials!$E:$E,MATCH(G79,Materials!$A:$A,0)))+IF(I79="",0,J79*INDEX(Materials!$E:$E,MATCH(I79,Materials!$A:$A,0)))+IF(K79="",0,L79*INDEX(Materials!$E:$E,MATCH(K79,Materials!$A:$A,0)))</f>
        <v>20646</v>
      </c>
      <c r="N79" s="23" t="n">
        <v>0</v>
      </c>
      <c r="O79" s="19"/>
      <c r="P79" s="21"/>
      <c r="Q79" s="22" t="n">
        <f aca="false">IF(O79="",0,P79*INDEX(Plant!$D:$D,MATCH(O79,Plant!$A:$A,0)))</f>
        <v>0</v>
      </c>
      <c r="R79" s="24" t="n">
        <f aca="false">F79+M79+N79+Q79</f>
        <v>24632.9952</v>
      </c>
      <c r="S79" s="22" t="n">
        <f aca="false">R79*Settings!$B$4*Settings!$B$9</f>
        <v>24632.9952</v>
      </c>
      <c r="T79" s="24" t="n">
        <f aca="false">S79*(1+Settings!$B$10)</f>
        <v>28820.604384</v>
      </c>
    </row>
    <row r="80" customFormat="false" ht="15" hidden="false" customHeight="false" outlineLevel="0" collapsed="false">
      <c r="A80" s="19" t="s">
        <v>265</v>
      </c>
      <c r="B80" s="20" t="s">
        <v>266</v>
      </c>
      <c r="C80" s="19" t="s">
        <v>259</v>
      </c>
      <c r="D80" s="19" t="s">
        <v>260</v>
      </c>
      <c r="E80" s="21" t="n">
        <v>40</v>
      </c>
      <c r="F80" s="22" t="n">
        <f aca="false">IF(D80="",0,E80*INDEX(Gangs!$D:$D,MATCH(D80,Gangs!$A:$A,0)))</f>
        <v>6644.992</v>
      </c>
      <c r="G80" s="19" t="s">
        <v>267</v>
      </c>
      <c r="H80" s="21" t="n">
        <v>1.03</v>
      </c>
      <c r="I80" s="19" t="s">
        <v>262</v>
      </c>
      <c r="J80" s="21" t="n">
        <v>10</v>
      </c>
      <c r="K80" s="19"/>
      <c r="L80" s="21"/>
      <c r="M80" s="22" t="n">
        <f aca="false">IF(G80="",0,H80*INDEX(Materials!$E:$E,MATCH(G80,Materials!$A:$A,0)))+IF(I80="",0,J80*INDEX(Materials!$E:$E,MATCH(I80,Materials!$A:$A,0)))+IF(K80="",0,L80*INDEX(Materials!$E:$E,MATCH(K80,Materials!$A:$A,0)))</f>
        <v>20196</v>
      </c>
      <c r="N80" s="23" t="n">
        <v>0</v>
      </c>
      <c r="O80" s="19"/>
      <c r="P80" s="21"/>
      <c r="Q80" s="22" t="n">
        <f aca="false">IF(O80="",0,P80*INDEX(Plant!$D:$D,MATCH(O80,Plant!$A:$A,0)))</f>
        <v>0</v>
      </c>
      <c r="R80" s="24" t="n">
        <f aca="false">F80+M80+N80+Q80</f>
        <v>26840.992</v>
      </c>
      <c r="S80" s="22" t="n">
        <f aca="false">R80*Settings!$B$4*Settings!$B$9</f>
        <v>26840.992</v>
      </c>
      <c r="T80" s="24" t="n">
        <f aca="false">S80*(1+Settings!$B$10)</f>
        <v>31403.96064</v>
      </c>
    </row>
    <row r="81" customFormat="false" ht="15" hidden="false" customHeight="false" outlineLevel="0" collapsed="false">
      <c r="A81" s="19" t="s">
        <v>268</v>
      </c>
      <c r="B81" s="20" t="s">
        <v>269</v>
      </c>
      <c r="C81" s="19" t="s">
        <v>108</v>
      </c>
      <c r="D81" s="19" t="s">
        <v>260</v>
      </c>
      <c r="E81" s="21" t="n">
        <v>0.05</v>
      </c>
      <c r="F81" s="22" t="n">
        <f aca="false">IF(D81="",0,E81*INDEX(Gangs!$D:$D,MATCH(D81,Gangs!$A:$A,0)))</f>
        <v>8.30624</v>
      </c>
      <c r="G81" s="19" t="s">
        <v>270</v>
      </c>
      <c r="H81" s="21" t="n">
        <v>1.15</v>
      </c>
      <c r="I81" s="19"/>
      <c r="J81" s="21"/>
      <c r="K81" s="19"/>
      <c r="L81" s="21"/>
      <c r="M81" s="22" t="n">
        <f aca="false">IF(G81="",0,H81*INDEX(Materials!$E:$E,MATCH(G81,Materials!$A:$A,0)))+IF(I81="",0,J81*INDEX(Materials!$E:$E,MATCH(I81,Materials!$A:$A,0)))+IF(K81="",0,L81*INDEX(Materials!$E:$E,MATCH(K81,Materials!$A:$A,0)))</f>
        <v>59.8</v>
      </c>
      <c r="N81" s="23" t="n">
        <v>2</v>
      </c>
      <c r="O81" s="19"/>
      <c r="P81" s="21"/>
      <c r="Q81" s="22" t="n">
        <f aca="false">IF(O81="",0,P81*INDEX(Plant!$D:$D,MATCH(O81,Plant!$A:$A,0)))</f>
        <v>0</v>
      </c>
      <c r="R81" s="24" t="n">
        <f aca="false">F81+M81+N81+Q81</f>
        <v>70.10624</v>
      </c>
      <c r="S81" s="22" t="n">
        <f aca="false">R81*Settings!$B$4*Settings!$B$9</f>
        <v>70.10624</v>
      </c>
      <c r="T81" s="24" t="n">
        <f aca="false">S81*(1+Settings!$B$10)</f>
        <v>82.0243008</v>
      </c>
    </row>
    <row r="82" customFormat="false" ht="15" hidden="false" customHeight="false" outlineLevel="0" collapsed="false">
      <c r="A82" s="19" t="s">
        <v>271</v>
      </c>
      <c r="B82" s="20" t="s">
        <v>272</v>
      </c>
      <c r="C82" s="19" t="s">
        <v>108</v>
      </c>
      <c r="D82" s="19" t="s">
        <v>260</v>
      </c>
      <c r="E82" s="21" t="n">
        <v>0.06</v>
      </c>
      <c r="F82" s="22" t="n">
        <f aca="false">IF(D82="",0,E82*INDEX(Gangs!$D:$D,MATCH(D82,Gangs!$A:$A,0)))</f>
        <v>9.967488</v>
      </c>
      <c r="G82" s="19" t="s">
        <v>273</v>
      </c>
      <c r="H82" s="21" t="n">
        <v>1.15</v>
      </c>
      <c r="I82" s="19"/>
      <c r="J82" s="21"/>
      <c r="K82" s="19"/>
      <c r="L82" s="21"/>
      <c r="M82" s="22" t="n">
        <f aca="false">IF(G82="",0,H82*INDEX(Materials!$E:$E,MATCH(G82,Materials!$A:$A,0)))+IF(I82="",0,J82*INDEX(Materials!$E:$E,MATCH(I82,Materials!$A:$A,0)))+IF(K82="",0,L82*INDEX(Materials!$E:$E,MATCH(K82,Materials!$A:$A,0)))</f>
        <v>75.9</v>
      </c>
      <c r="N82" s="23" t="n">
        <v>2</v>
      </c>
      <c r="O82" s="19"/>
      <c r="P82" s="21"/>
      <c r="Q82" s="22" t="n">
        <f aca="false">IF(O82="",0,P82*INDEX(Plant!$D:$D,MATCH(O82,Plant!$A:$A,0)))</f>
        <v>0</v>
      </c>
      <c r="R82" s="24" t="n">
        <f aca="false">F82+M82+N82+Q82</f>
        <v>87.867488</v>
      </c>
      <c r="S82" s="22" t="n">
        <f aca="false">R82*Settings!$B$4*Settings!$B$9</f>
        <v>87.867488</v>
      </c>
      <c r="T82" s="24" t="n">
        <f aca="false">S82*(1+Settings!$B$10)</f>
        <v>102.80496096</v>
      </c>
    </row>
    <row r="83" customFormat="false" ht="15" hidden="false" customHeight="false" outlineLevel="0" collapsed="false">
      <c r="A83" s="19" t="s">
        <v>274</v>
      </c>
      <c r="B83" s="20" t="s">
        <v>275</v>
      </c>
      <c r="C83" s="19" t="s">
        <v>108</v>
      </c>
      <c r="D83" s="19" t="s">
        <v>260</v>
      </c>
      <c r="E83" s="21" t="n">
        <v>0.04</v>
      </c>
      <c r="F83" s="22" t="n">
        <f aca="false">IF(D83="",0,E83*INDEX(Gangs!$D:$D,MATCH(D83,Gangs!$A:$A,0)))</f>
        <v>6.644992</v>
      </c>
      <c r="G83" s="19" t="s">
        <v>276</v>
      </c>
      <c r="H83" s="21" t="n">
        <v>1.15</v>
      </c>
      <c r="I83" s="19"/>
      <c r="J83" s="21"/>
      <c r="K83" s="19"/>
      <c r="L83" s="21"/>
      <c r="M83" s="22" t="n">
        <f aca="false">IF(G83="",0,H83*INDEX(Materials!$E:$E,MATCH(G83,Materials!$A:$A,0)))+IF(I83="",0,J83*INDEX(Materials!$E:$E,MATCH(I83,Materials!$A:$A,0)))+IF(K83="",0,L83*INDEX(Materials!$E:$E,MATCH(K83,Materials!$A:$A,0)))</f>
        <v>35.65</v>
      </c>
      <c r="N83" s="23" t="n">
        <v>2</v>
      </c>
      <c r="O83" s="19"/>
      <c r="P83" s="21"/>
      <c r="Q83" s="22" t="n">
        <f aca="false">IF(O83="",0,P83*INDEX(Plant!$D:$D,MATCH(O83,Plant!$A:$A,0)))</f>
        <v>0</v>
      </c>
      <c r="R83" s="24" t="n">
        <f aca="false">F83+M83+N83+Q83</f>
        <v>44.294992</v>
      </c>
      <c r="S83" s="22" t="n">
        <f aca="false">R83*Settings!$B$4*Settings!$B$9</f>
        <v>44.294992</v>
      </c>
      <c r="T83" s="24" t="n">
        <f aca="false">S83*(1+Settings!$B$10)</f>
        <v>51.82514064</v>
      </c>
    </row>
    <row r="84" customFormat="false" ht="15" hidden="false" customHeight="false" outlineLevel="0" collapsed="false">
      <c r="A84" s="19" t="s">
        <v>277</v>
      </c>
      <c r="B84" s="20" t="s">
        <v>278</v>
      </c>
      <c r="C84" s="19" t="s">
        <v>256</v>
      </c>
      <c r="D84" s="19" t="s">
        <v>236</v>
      </c>
      <c r="E84" s="21" t="n">
        <v>0.15</v>
      </c>
      <c r="F84" s="22" t="n">
        <f aca="false">IF(D84="",0,E84*INDEX(Gangs!$D:$D,MATCH(D84,Gangs!$A:$A,0)))</f>
        <v>24.91872</v>
      </c>
      <c r="G84" s="19" t="s">
        <v>279</v>
      </c>
      <c r="H84" s="21" t="n">
        <v>1.05</v>
      </c>
      <c r="I84" s="19"/>
      <c r="J84" s="21"/>
      <c r="K84" s="19"/>
      <c r="L84" s="21"/>
      <c r="M84" s="22" t="n">
        <f aca="false">IF(G84="",0,H84*INDEX(Materials!$E:$E,MATCH(G84,Materials!$A:$A,0)))+IF(I84="",0,J84*INDEX(Materials!$E:$E,MATCH(I84,Materials!$A:$A,0)))+IF(K84="",0,L84*INDEX(Materials!$E:$E,MATCH(K84,Materials!$A:$A,0)))</f>
        <v>29.4</v>
      </c>
      <c r="N84" s="23" t="n">
        <v>0</v>
      </c>
      <c r="O84" s="19"/>
      <c r="P84" s="21"/>
      <c r="Q84" s="22" t="n">
        <f aca="false">IF(O84="",0,P84*INDEX(Plant!$D:$D,MATCH(O84,Plant!$A:$A,0)))</f>
        <v>0</v>
      </c>
      <c r="R84" s="24" t="n">
        <f aca="false">F84+M84+N84+Q84</f>
        <v>54.31872</v>
      </c>
      <c r="S84" s="22" t="n">
        <f aca="false">R84*Settings!$B$4*Settings!$B$9</f>
        <v>54.31872</v>
      </c>
      <c r="T84" s="24" t="n">
        <f aca="false">S84*(1+Settings!$B$10)</f>
        <v>63.5529024</v>
      </c>
    </row>
    <row r="85" customFormat="false" ht="15" hidden="false" customHeight="false" outlineLevel="0" collapsed="false">
      <c r="A85" s="19" t="s">
        <v>280</v>
      </c>
      <c r="B85" s="20" t="s">
        <v>281</v>
      </c>
      <c r="C85" s="19" t="s">
        <v>256</v>
      </c>
      <c r="D85" s="19" t="s">
        <v>236</v>
      </c>
      <c r="E85" s="21" t="n">
        <v>0.1</v>
      </c>
      <c r="F85" s="22" t="n">
        <f aca="false">IF(D85="",0,E85*INDEX(Gangs!$D:$D,MATCH(D85,Gangs!$A:$A,0)))</f>
        <v>16.61248</v>
      </c>
      <c r="G85" s="19" t="s">
        <v>279</v>
      </c>
      <c r="H85" s="21" t="n">
        <v>1</v>
      </c>
      <c r="I85" s="19"/>
      <c r="J85" s="21"/>
      <c r="K85" s="19"/>
      <c r="L85" s="21"/>
      <c r="M85" s="22" t="n">
        <f aca="false">IF(G85="",0,H85*INDEX(Materials!$E:$E,MATCH(G85,Materials!$A:$A,0)))+IF(I85="",0,J85*INDEX(Materials!$E:$E,MATCH(I85,Materials!$A:$A,0)))+IF(K85="",0,L85*INDEX(Materials!$E:$E,MATCH(K85,Materials!$A:$A,0)))</f>
        <v>28</v>
      </c>
      <c r="N85" s="23" t="n">
        <v>0</v>
      </c>
      <c r="O85" s="19" t="s">
        <v>282</v>
      </c>
      <c r="P85" s="21" t="n">
        <v>0.02</v>
      </c>
      <c r="Q85" s="22" t="n">
        <f aca="false">IF(O85="",0,P85*INDEX(Plant!$D:$D,MATCH(O85,Plant!$A:$A,0)))</f>
        <v>14</v>
      </c>
      <c r="R85" s="24" t="n">
        <f aca="false">F85+M85+N85+Q85</f>
        <v>58.61248</v>
      </c>
      <c r="S85" s="22" t="n">
        <f aca="false">R85*Settings!$B$4*Settings!$B$9</f>
        <v>58.61248</v>
      </c>
      <c r="T85" s="24" t="n">
        <f aca="false">S85*(1+Settings!$B$10)</f>
        <v>68.5766016</v>
      </c>
    </row>
    <row r="86" customFormat="false" ht="15" hidden="false" customHeight="false" outlineLevel="0" collapsed="false">
      <c r="A86" s="19" t="s">
        <v>283</v>
      </c>
      <c r="B86" s="20" t="s">
        <v>284</v>
      </c>
      <c r="C86" s="19" t="s">
        <v>256</v>
      </c>
      <c r="D86" s="19" t="s">
        <v>154</v>
      </c>
      <c r="E86" s="21" t="n">
        <v>0.12</v>
      </c>
      <c r="F86" s="22" t="n">
        <f aca="false">IF(D86="",0,E86*INDEX(Gangs!$D:$D,MATCH(D86,Gangs!$A:$A,0)))</f>
        <v>19.934976</v>
      </c>
      <c r="G86" s="19" t="s">
        <v>155</v>
      </c>
      <c r="H86" s="21" t="n">
        <v>1</v>
      </c>
      <c r="I86" s="19" t="s">
        <v>156</v>
      </c>
      <c r="J86" s="21" t="n">
        <v>0.001</v>
      </c>
      <c r="K86" s="19"/>
      <c r="L86" s="21"/>
      <c r="M86" s="22" t="n">
        <f aca="false">IF(G86="",0,H86*INDEX(Materials!$E:$E,MATCH(G86,Materials!$A:$A,0)))+IF(I86="",0,J86*INDEX(Materials!$E:$E,MATCH(I86,Materials!$A:$A,0)))+IF(K86="",0,L86*INDEX(Materials!$E:$E,MATCH(K86,Materials!$A:$A,0)))</f>
        <v>79.148</v>
      </c>
      <c r="N86" s="23" t="n">
        <v>0</v>
      </c>
      <c r="O86" s="19"/>
      <c r="P86" s="21"/>
      <c r="Q86" s="22" t="n">
        <f aca="false">IF(O86="",0,P86*INDEX(Plant!$D:$D,MATCH(O86,Plant!$A:$A,0)))</f>
        <v>0</v>
      </c>
      <c r="R86" s="24" t="n">
        <f aca="false">F86+M86+N86+Q86</f>
        <v>99.082976</v>
      </c>
      <c r="S86" s="22" t="n">
        <f aca="false">R86*Settings!$B$4*Settings!$B$9</f>
        <v>99.082976</v>
      </c>
      <c r="T86" s="24" t="n">
        <f aca="false">S86*(1+Settings!$B$10)</f>
        <v>115.92708192</v>
      </c>
    </row>
    <row r="87" customFormat="false" ht="23.85" hidden="false" customHeight="false" outlineLevel="0" collapsed="false">
      <c r="A87" s="19" t="s">
        <v>285</v>
      </c>
      <c r="B87" s="20" t="s">
        <v>286</v>
      </c>
      <c r="C87" s="19" t="s">
        <v>108</v>
      </c>
      <c r="D87" s="19" t="s">
        <v>206</v>
      </c>
      <c r="E87" s="21" t="n">
        <v>0.5</v>
      </c>
      <c r="F87" s="22" t="n">
        <f aca="false">IF(D87="",0,E87*INDEX(Gangs!$D:$D,MATCH(D87,Gangs!$A:$A,0)))</f>
        <v>144.13845</v>
      </c>
      <c r="G87" s="19" t="s">
        <v>287</v>
      </c>
      <c r="H87" s="21" t="n">
        <v>1</v>
      </c>
      <c r="I87" s="19" t="s">
        <v>220</v>
      </c>
      <c r="J87" s="21" t="n">
        <v>0.075</v>
      </c>
      <c r="K87" s="19" t="s">
        <v>276</v>
      </c>
      <c r="L87" s="21" t="n">
        <v>1.15</v>
      </c>
      <c r="M87" s="22" t="n">
        <f aca="false">IF(G87="",0,H87*INDEX(Materials!$E:$E,MATCH(G87,Materials!$A:$A,0)))+IF(I87="",0,J87*INDEX(Materials!$E:$E,MATCH(I87,Materials!$A:$A,0)))+IF(K87="",0,L87*INDEX(Materials!$E:$E,MATCH(K87,Materials!$A:$A,0)))</f>
        <v>550.65</v>
      </c>
      <c r="N87" s="23" t="n">
        <v>0</v>
      </c>
      <c r="O87" s="19" t="s">
        <v>251</v>
      </c>
      <c r="P87" s="21" t="n">
        <v>1</v>
      </c>
      <c r="Q87" s="22" t="n">
        <f aca="false">IF(O87="",0,P87*INDEX(Plant!$D:$D,MATCH(O87,Plant!$A:$A,0)))</f>
        <v>45</v>
      </c>
      <c r="R87" s="24" t="n">
        <f aca="false">F87+M87+N87+Q87</f>
        <v>739.78845</v>
      </c>
      <c r="S87" s="22" t="n">
        <f aca="false">R87*Settings!$B$4*Settings!$B$9</f>
        <v>739.78845</v>
      </c>
      <c r="T87" s="24" t="n">
        <f aca="false">S87*(1+Settings!$B$10)</f>
        <v>865.5524865</v>
      </c>
    </row>
    <row r="88" customFormat="false" ht="15" hidden="false" customHeight="false" outlineLevel="0" collapsed="false">
      <c r="A88" s="17" t="s">
        <v>288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customFormat="false" ht="15" hidden="false" customHeight="false" outlineLevel="0" collapsed="false">
      <c r="A89" s="19" t="s">
        <v>289</v>
      </c>
      <c r="B89" s="20" t="s">
        <v>290</v>
      </c>
      <c r="C89" s="19" t="s">
        <v>108</v>
      </c>
      <c r="D89" s="19" t="s">
        <v>154</v>
      </c>
      <c r="E89" s="21" t="n">
        <v>0.85</v>
      </c>
      <c r="F89" s="22" t="n">
        <f aca="false">IF(D89="",0,E89*INDEX(Gangs!$D:$D,MATCH(D89,Gangs!$A:$A,0)))</f>
        <v>141.20608</v>
      </c>
      <c r="G89" s="19" t="s">
        <v>291</v>
      </c>
      <c r="H89" s="21" t="n">
        <v>55</v>
      </c>
      <c r="I89" s="19" t="s">
        <v>156</v>
      </c>
      <c r="J89" s="21" t="n">
        <v>0.02</v>
      </c>
      <c r="K89" s="19" t="s">
        <v>292</v>
      </c>
      <c r="L89" s="21" t="n">
        <v>1.6</v>
      </c>
      <c r="M89" s="22" t="n">
        <f aca="false">IF(G89="",0,H89*INDEX(Materials!$E:$E,MATCH(G89,Materials!$A:$A,0)))+IF(I89="",0,J89*INDEX(Materials!$E:$E,MATCH(I89,Materials!$A:$A,0)))+IF(K89="",0,L89*INDEX(Materials!$E:$E,MATCH(K89,Materials!$A:$A,0)))</f>
        <v>148.92</v>
      </c>
      <c r="N89" s="23" t="n">
        <v>0</v>
      </c>
      <c r="O89" s="19"/>
      <c r="P89" s="21"/>
      <c r="Q89" s="22" t="n">
        <f aca="false">IF(O89="",0,P89*INDEX(Plant!$D:$D,MATCH(O89,Plant!$A:$A,0)))</f>
        <v>0</v>
      </c>
      <c r="R89" s="24" t="n">
        <f aca="false">F89+M89+N89+Q89</f>
        <v>290.12608</v>
      </c>
      <c r="S89" s="22" t="n">
        <f aca="false">R89*Settings!$B$4*Settings!$B$9</f>
        <v>290.12608</v>
      </c>
      <c r="T89" s="24" t="n">
        <f aca="false">S89*(1+Settings!$B$10)</f>
        <v>339.4475136</v>
      </c>
    </row>
    <row r="90" customFormat="false" ht="15" hidden="false" customHeight="false" outlineLevel="0" collapsed="false">
      <c r="A90" s="19" t="s">
        <v>293</v>
      </c>
      <c r="B90" s="20" t="s">
        <v>294</v>
      </c>
      <c r="C90" s="19" t="s">
        <v>108</v>
      </c>
      <c r="D90" s="19" t="s">
        <v>154</v>
      </c>
      <c r="E90" s="21" t="n">
        <v>1.6</v>
      </c>
      <c r="F90" s="22" t="n">
        <f aca="false">IF(D90="",0,E90*INDEX(Gangs!$D:$D,MATCH(D90,Gangs!$A:$A,0)))</f>
        <v>265.79968</v>
      </c>
      <c r="G90" s="19" t="s">
        <v>291</v>
      </c>
      <c r="H90" s="21" t="n">
        <v>110</v>
      </c>
      <c r="I90" s="19" t="s">
        <v>156</v>
      </c>
      <c r="J90" s="21" t="n">
        <v>0.05</v>
      </c>
      <c r="K90" s="19" t="s">
        <v>292</v>
      </c>
      <c r="L90" s="21" t="n">
        <v>3.2</v>
      </c>
      <c r="M90" s="22" t="n">
        <f aca="false">IF(G90="",0,H90*INDEX(Materials!$E:$E,MATCH(G90,Materials!$A:$A,0)))+IF(I90="",0,J90*INDEX(Materials!$E:$E,MATCH(I90,Materials!$A:$A,0)))+IF(K90="",0,L90*INDEX(Materials!$E:$E,MATCH(K90,Materials!$A:$A,0)))</f>
        <v>309.32</v>
      </c>
      <c r="N90" s="23" t="n">
        <v>0</v>
      </c>
      <c r="O90" s="19"/>
      <c r="P90" s="21"/>
      <c r="Q90" s="22" t="n">
        <f aca="false">IF(O90="",0,P90*INDEX(Plant!$D:$D,MATCH(O90,Plant!$A:$A,0)))</f>
        <v>0</v>
      </c>
      <c r="R90" s="24" t="n">
        <f aca="false">F90+M90+N90+Q90</f>
        <v>575.11968</v>
      </c>
      <c r="S90" s="22" t="n">
        <f aca="false">R90*Settings!$B$4*Settings!$B$9</f>
        <v>575.11968</v>
      </c>
      <c r="T90" s="24" t="n">
        <f aca="false">S90*(1+Settings!$B$10)</f>
        <v>672.8900256</v>
      </c>
    </row>
    <row r="91" customFormat="false" ht="15" hidden="false" customHeight="false" outlineLevel="0" collapsed="false">
      <c r="A91" s="19" t="s">
        <v>295</v>
      </c>
      <c r="B91" s="20" t="s">
        <v>296</v>
      </c>
      <c r="C91" s="19" t="s">
        <v>108</v>
      </c>
      <c r="D91" s="19" t="s">
        <v>154</v>
      </c>
      <c r="E91" s="21" t="n">
        <v>0.85</v>
      </c>
      <c r="F91" s="22" t="n">
        <f aca="false">IF(D91="",0,E91*INDEX(Gangs!$D:$D,MATCH(D91,Gangs!$A:$A,0)))</f>
        <v>141.20608</v>
      </c>
      <c r="G91" s="19" t="s">
        <v>297</v>
      </c>
      <c r="H91" s="21" t="n">
        <v>55</v>
      </c>
      <c r="I91" s="19" t="s">
        <v>156</v>
      </c>
      <c r="J91" s="21" t="n">
        <v>0.02</v>
      </c>
      <c r="K91" s="19" t="s">
        <v>292</v>
      </c>
      <c r="L91" s="21" t="n">
        <v>1.6</v>
      </c>
      <c r="M91" s="22" t="n">
        <f aca="false">IF(G91="",0,H91*INDEX(Materials!$E:$E,MATCH(G91,Materials!$A:$A,0)))+IF(I91="",0,J91*INDEX(Materials!$E:$E,MATCH(I91,Materials!$A:$A,0)))+IF(K91="",0,L91*INDEX(Materials!$E:$E,MATCH(K91,Materials!$A:$A,0)))</f>
        <v>143.42</v>
      </c>
      <c r="N91" s="23" t="n">
        <v>0</v>
      </c>
      <c r="O91" s="19"/>
      <c r="P91" s="21"/>
      <c r="Q91" s="22" t="n">
        <f aca="false">IF(O91="",0,P91*INDEX(Plant!$D:$D,MATCH(O91,Plant!$A:$A,0)))</f>
        <v>0</v>
      </c>
      <c r="R91" s="24" t="n">
        <f aca="false">F91+M91+N91+Q91</f>
        <v>284.62608</v>
      </c>
      <c r="S91" s="22" t="n">
        <f aca="false">R91*Settings!$B$4*Settings!$B$9</f>
        <v>284.62608</v>
      </c>
      <c r="T91" s="24" t="n">
        <f aca="false">S91*(1+Settings!$B$10)</f>
        <v>333.0125136</v>
      </c>
    </row>
    <row r="92" customFormat="false" ht="15" hidden="false" customHeight="false" outlineLevel="0" collapsed="false">
      <c r="A92" s="19" t="s">
        <v>298</v>
      </c>
      <c r="B92" s="20" t="s">
        <v>299</v>
      </c>
      <c r="C92" s="19" t="s">
        <v>108</v>
      </c>
      <c r="D92" s="19" t="s">
        <v>154</v>
      </c>
      <c r="E92" s="21" t="n">
        <v>1.6</v>
      </c>
      <c r="F92" s="22" t="n">
        <f aca="false">IF(D92="",0,E92*INDEX(Gangs!$D:$D,MATCH(D92,Gangs!$A:$A,0)))</f>
        <v>265.79968</v>
      </c>
      <c r="G92" s="19" t="s">
        <v>297</v>
      </c>
      <c r="H92" s="21" t="n">
        <v>110</v>
      </c>
      <c r="I92" s="19" t="s">
        <v>156</v>
      </c>
      <c r="J92" s="21" t="n">
        <v>0.05</v>
      </c>
      <c r="K92" s="19" t="s">
        <v>292</v>
      </c>
      <c r="L92" s="21" t="n">
        <v>3.2</v>
      </c>
      <c r="M92" s="22" t="n">
        <f aca="false">IF(G92="",0,H92*INDEX(Materials!$E:$E,MATCH(G92,Materials!$A:$A,0)))+IF(I92="",0,J92*INDEX(Materials!$E:$E,MATCH(I92,Materials!$A:$A,0)))+IF(K92="",0,L92*INDEX(Materials!$E:$E,MATCH(K92,Materials!$A:$A,0)))</f>
        <v>298.32</v>
      </c>
      <c r="N92" s="23" t="n">
        <v>0</v>
      </c>
      <c r="O92" s="19"/>
      <c r="P92" s="21"/>
      <c r="Q92" s="22" t="n">
        <f aca="false">IF(O92="",0,P92*INDEX(Plant!$D:$D,MATCH(O92,Plant!$A:$A,0)))</f>
        <v>0</v>
      </c>
      <c r="R92" s="24" t="n">
        <f aca="false">F92+M92+N92+Q92</f>
        <v>564.11968</v>
      </c>
      <c r="S92" s="22" t="n">
        <f aca="false">R92*Settings!$B$4*Settings!$B$9</f>
        <v>564.11968</v>
      </c>
      <c r="T92" s="24" t="n">
        <f aca="false">S92*(1+Settings!$B$10)</f>
        <v>660.0200256</v>
      </c>
    </row>
    <row r="93" customFormat="false" ht="15" hidden="false" customHeight="false" outlineLevel="0" collapsed="false">
      <c r="A93" s="19" t="s">
        <v>300</v>
      </c>
      <c r="B93" s="20" t="s">
        <v>301</v>
      </c>
      <c r="C93" s="19" t="s">
        <v>108</v>
      </c>
      <c r="D93" s="19" t="s">
        <v>154</v>
      </c>
      <c r="E93" s="21" t="n">
        <v>1.8</v>
      </c>
      <c r="F93" s="22" t="n">
        <f aca="false">IF(D93="",0,E93*INDEX(Gangs!$D:$D,MATCH(D93,Gangs!$A:$A,0)))</f>
        <v>299.02464</v>
      </c>
      <c r="G93" s="19" t="s">
        <v>291</v>
      </c>
      <c r="H93" s="21" t="n">
        <v>110</v>
      </c>
      <c r="I93" s="19" t="s">
        <v>156</v>
      </c>
      <c r="J93" s="21" t="n">
        <v>0.042</v>
      </c>
      <c r="K93" s="19" t="s">
        <v>302</v>
      </c>
      <c r="L93" s="21" t="n">
        <v>4</v>
      </c>
      <c r="M93" s="22" t="n">
        <f aca="false">IF(G93="",0,H93*INDEX(Materials!$E:$E,MATCH(G93,Materials!$A:$A,0)))+IF(I93="",0,J93*INDEX(Materials!$E:$E,MATCH(I93,Materials!$A:$A,0)))+IF(K93="",0,L93*INDEX(Materials!$E:$E,MATCH(K93,Materials!$A:$A,0)))</f>
        <v>296.616</v>
      </c>
      <c r="N93" s="23" t="n">
        <v>10</v>
      </c>
      <c r="O93" s="19"/>
      <c r="P93" s="21"/>
      <c r="Q93" s="22" t="n">
        <f aca="false">IF(O93="",0,P93*INDEX(Plant!$D:$D,MATCH(O93,Plant!$A:$A,0)))</f>
        <v>0</v>
      </c>
      <c r="R93" s="24" t="n">
        <f aca="false">F93+M93+N93+Q93</f>
        <v>605.64064</v>
      </c>
      <c r="S93" s="22" t="n">
        <f aca="false">R93*Settings!$B$4*Settings!$B$9</f>
        <v>605.64064</v>
      </c>
      <c r="T93" s="24" t="n">
        <f aca="false">S93*(1+Settings!$B$10)</f>
        <v>708.5995488</v>
      </c>
    </row>
    <row r="94" customFormat="false" ht="15" hidden="false" customHeight="false" outlineLevel="0" collapsed="false">
      <c r="A94" s="19" t="s">
        <v>303</v>
      </c>
      <c r="B94" s="20" t="s">
        <v>304</v>
      </c>
      <c r="C94" s="19" t="s">
        <v>108</v>
      </c>
      <c r="D94" s="19" t="s">
        <v>154</v>
      </c>
      <c r="E94" s="21" t="n">
        <v>0.6</v>
      </c>
      <c r="F94" s="22" t="n">
        <f aca="false">IF(D94="",0,E94*INDEX(Gangs!$D:$D,MATCH(D94,Gangs!$A:$A,0)))</f>
        <v>99.67488</v>
      </c>
      <c r="G94" s="19" t="s">
        <v>305</v>
      </c>
      <c r="H94" s="21" t="n">
        <v>13</v>
      </c>
      <c r="I94" s="19" t="s">
        <v>156</v>
      </c>
      <c r="J94" s="21" t="n">
        <v>0.011</v>
      </c>
      <c r="K94" s="19" t="s">
        <v>292</v>
      </c>
      <c r="L94" s="21" t="n">
        <v>1.3</v>
      </c>
      <c r="M94" s="22" t="n">
        <f aca="false">IF(G94="",0,H94*INDEX(Materials!$E:$E,MATCH(G94,Materials!$A:$A,0)))+IF(I94="",0,J94*INDEX(Materials!$E:$E,MATCH(I94,Materials!$A:$A,0)))+IF(K94="",0,L94*INDEX(Materials!$E:$E,MATCH(K94,Materials!$A:$A,0)))</f>
        <v>192.158</v>
      </c>
      <c r="N94" s="23" t="n">
        <v>0</v>
      </c>
      <c r="O94" s="19"/>
      <c r="P94" s="21"/>
      <c r="Q94" s="22" t="n">
        <f aca="false">IF(O94="",0,P94*INDEX(Plant!$D:$D,MATCH(O94,Plant!$A:$A,0)))</f>
        <v>0</v>
      </c>
      <c r="R94" s="24" t="n">
        <f aca="false">F94+M94+N94+Q94</f>
        <v>291.83288</v>
      </c>
      <c r="S94" s="22" t="n">
        <f aca="false">R94*Settings!$B$4*Settings!$B$9</f>
        <v>291.83288</v>
      </c>
      <c r="T94" s="24" t="n">
        <f aca="false">S94*(1+Settings!$B$10)</f>
        <v>341.4444696</v>
      </c>
    </row>
    <row r="95" customFormat="false" ht="15" hidden="false" customHeight="false" outlineLevel="0" collapsed="false">
      <c r="A95" s="19" t="s">
        <v>306</v>
      </c>
      <c r="B95" s="20" t="s">
        <v>307</v>
      </c>
      <c r="C95" s="19" t="s">
        <v>108</v>
      </c>
      <c r="D95" s="19" t="s">
        <v>154</v>
      </c>
      <c r="E95" s="21" t="n">
        <v>0.7</v>
      </c>
      <c r="F95" s="22" t="n">
        <f aca="false">IF(D95="",0,E95*INDEX(Gangs!$D:$D,MATCH(D95,Gangs!$A:$A,0)))</f>
        <v>116.28736</v>
      </c>
      <c r="G95" s="19" t="s">
        <v>308</v>
      </c>
      <c r="H95" s="21" t="n">
        <v>13</v>
      </c>
      <c r="I95" s="19" t="s">
        <v>156</v>
      </c>
      <c r="J95" s="21" t="n">
        <v>0.014</v>
      </c>
      <c r="K95" s="19" t="s">
        <v>292</v>
      </c>
      <c r="L95" s="21" t="n">
        <v>1.3</v>
      </c>
      <c r="M95" s="22" t="n">
        <f aca="false">IF(G95="",0,H95*INDEX(Materials!$E:$E,MATCH(G95,Materials!$A:$A,0)))+IF(I95="",0,J95*INDEX(Materials!$E:$E,MATCH(I95,Materials!$A:$A,0)))+IF(K95="",0,L95*INDEX(Materials!$E:$E,MATCH(K95,Materials!$A:$A,0)))</f>
        <v>252.802</v>
      </c>
      <c r="N95" s="23" t="n">
        <v>0</v>
      </c>
      <c r="O95" s="19"/>
      <c r="P95" s="21"/>
      <c r="Q95" s="22" t="n">
        <f aca="false">IF(O95="",0,P95*INDEX(Plant!$D:$D,MATCH(O95,Plant!$A:$A,0)))</f>
        <v>0</v>
      </c>
      <c r="R95" s="24" t="n">
        <f aca="false">F95+M95+N95+Q95</f>
        <v>369.08936</v>
      </c>
      <c r="S95" s="22" t="n">
        <f aca="false">R95*Settings!$B$4*Settings!$B$9</f>
        <v>369.08936</v>
      </c>
      <c r="T95" s="24" t="n">
        <f aca="false">S95*(1+Settings!$B$10)</f>
        <v>431.8345512</v>
      </c>
    </row>
    <row r="96" customFormat="false" ht="15" hidden="false" customHeight="false" outlineLevel="0" collapsed="false">
      <c r="A96" s="19" t="s">
        <v>309</v>
      </c>
      <c r="B96" s="20" t="s">
        <v>310</v>
      </c>
      <c r="C96" s="19" t="s">
        <v>108</v>
      </c>
      <c r="D96" s="19" t="s">
        <v>154</v>
      </c>
      <c r="E96" s="21" t="n">
        <v>0.5</v>
      </c>
      <c r="F96" s="22" t="n">
        <f aca="false">IF(D96="",0,E96*INDEX(Gangs!$D:$D,MATCH(D96,Gangs!$A:$A,0)))</f>
        <v>83.0624</v>
      </c>
      <c r="G96" s="19" t="s">
        <v>311</v>
      </c>
      <c r="H96" s="21" t="n">
        <v>13</v>
      </c>
      <c r="I96" s="19" t="s">
        <v>156</v>
      </c>
      <c r="J96" s="21" t="n">
        <v>0.008</v>
      </c>
      <c r="K96" s="19"/>
      <c r="L96" s="21"/>
      <c r="M96" s="22" t="n">
        <f aca="false">IF(G96="",0,H96*INDEX(Materials!$E:$E,MATCH(G96,Materials!$A:$A,0)))+IF(I96="",0,J96*INDEX(Materials!$E:$E,MATCH(I96,Materials!$A:$A,0)))+IF(K96="",0,L96*INDEX(Materials!$E:$E,MATCH(K96,Materials!$A:$A,0)))</f>
        <v>136.584</v>
      </c>
      <c r="N96" s="23" t="n">
        <v>0</v>
      </c>
      <c r="O96" s="19"/>
      <c r="P96" s="21"/>
      <c r="Q96" s="22" t="n">
        <f aca="false">IF(O96="",0,P96*INDEX(Plant!$D:$D,MATCH(O96,Plant!$A:$A,0)))</f>
        <v>0</v>
      </c>
      <c r="R96" s="24" t="n">
        <f aca="false">F96+M96+N96+Q96</f>
        <v>219.6464</v>
      </c>
      <c r="S96" s="22" t="n">
        <f aca="false">R96*Settings!$B$4*Settings!$B$9</f>
        <v>219.6464</v>
      </c>
      <c r="T96" s="24" t="n">
        <f aca="false">S96*(1+Settings!$B$10)</f>
        <v>256.986288</v>
      </c>
    </row>
    <row r="97" customFormat="false" ht="15" hidden="false" customHeight="false" outlineLevel="0" collapsed="false">
      <c r="A97" s="19" t="s">
        <v>312</v>
      </c>
      <c r="B97" s="20" t="s">
        <v>313</v>
      </c>
      <c r="C97" s="19" t="s">
        <v>108</v>
      </c>
      <c r="D97" s="19" t="s">
        <v>314</v>
      </c>
      <c r="E97" s="21" t="n">
        <v>1.2</v>
      </c>
      <c r="F97" s="22" t="n">
        <f aca="false">IF(D97="",0,E97*INDEX(Gangs!$D:$D,MATCH(D97,Gangs!$A:$A,0)))</f>
        <v>244.49952</v>
      </c>
      <c r="G97" s="19" t="s">
        <v>315</v>
      </c>
      <c r="H97" s="21" t="n">
        <v>55</v>
      </c>
      <c r="I97" s="19" t="s">
        <v>156</v>
      </c>
      <c r="J97" s="21" t="n">
        <v>0.02</v>
      </c>
      <c r="K97" s="19" t="s">
        <v>292</v>
      </c>
      <c r="L97" s="21" t="n">
        <v>1.6</v>
      </c>
      <c r="M97" s="22" t="n">
        <f aca="false">IF(G97="",0,H97*INDEX(Materials!$E:$E,MATCH(G97,Materials!$A:$A,0)))+IF(I97="",0,J97*INDEX(Materials!$E:$E,MATCH(I97,Materials!$A:$A,0)))+IF(K97="",0,L97*INDEX(Materials!$E:$E,MATCH(K97,Materials!$A:$A,0)))</f>
        <v>324.92</v>
      </c>
      <c r="N97" s="23" t="n">
        <v>0</v>
      </c>
      <c r="O97" s="19"/>
      <c r="P97" s="21"/>
      <c r="Q97" s="22" t="n">
        <f aca="false">IF(O97="",0,P97*INDEX(Plant!$D:$D,MATCH(O97,Plant!$A:$A,0)))</f>
        <v>0</v>
      </c>
      <c r="R97" s="24" t="n">
        <f aca="false">F97+M97+N97+Q97</f>
        <v>569.41952</v>
      </c>
      <c r="S97" s="22" t="n">
        <f aca="false">R97*Settings!$B$4*Settings!$B$9</f>
        <v>569.41952</v>
      </c>
      <c r="T97" s="24" t="n">
        <f aca="false">S97*(1+Settings!$B$10)</f>
        <v>666.2208384</v>
      </c>
    </row>
    <row r="98" customFormat="false" ht="15" hidden="false" customHeight="false" outlineLevel="0" collapsed="false">
      <c r="A98" s="19" t="s">
        <v>316</v>
      </c>
      <c r="B98" s="20" t="s">
        <v>317</v>
      </c>
      <c r="C98" s="19" t="s">
        <v>108</v>
      </c>
      <c r="D98" s="19" t="s">
        <v>314</v>
      </c>
      <c r="E98" s="21" t="n">
        <v>1.9</v>
      </c>
      <c r="F98" s="22" t="n">
        <f aca="false">IF(D98="",0,E98*INDEX(Gangs!$D:$D,MATCH(D98,Gangs!$A:$A,0)))</f>
        <v>387.12424</v>
      </c>
      <c r="G98" s="19" t="s">
        <v>315</v>
      </c>
      <c r="H98" s="21" t="n">
        <v>55</v>
      </c>
      <c r="I98" s="19" t="s">
        <v>291</v>
      </c>
      <c r="J98" s="21" t="n">
        <v>55</v>
      </c>
      <c r="K98" s="19" t="s">
        <v>156</v>
      </c>
      <c r="L98" s="21" t="n">
        <v>0.05</v>
      </c>
      <c r="M98" s="22" t="n">
        <f aca="false">IF(G98="",0,H98*INDEX(Materials!$E:$E,MATCH(G98,Materials!$A:$A,0)))+IF(I98="",0,J98*INDEX(Materials!$E:$E,MATCH(I98,Materials!$A:$A,0)))+IF(K98="",0,L98*INDEX(Materials!$E:$E,MATCH(K98,Materials!$A:$A,0)))</f>
        <v>475.4</v>
      </c>
      <c r="N98" s="23" t="n">
        <v>5</v>
      </c>
      <c r="O98" s="19"/>
      <c r="P98" s="21"/>
      <c r="Q98" s="22" t="n">
        <f aca="false">IF(O98="",0,P98*INDEX(Plant!$D:$D,MATCH(O98,Plant!$A:$A,0)))</f>
        <v>0</v>
      </c>
      <c r="R98" s="24" t="n">
        <f aca="false">F98+M98+N98+Q98</f>
        <v>867.52424</v>
      </c>
      <c r="S98" s="22" t="n">
        <f aca="false">R98*Settings!$B$4*Settings!$B$9</f>
        <v>867.52424</v>
      </c>
      <c r="T98" s="24" t="n">
        <f aca="false">S98*(1+Settings!$B$10)</f>
        <v>1015.0033608</v>
      </c>
    </row>
    <row r="99" customFormat="false" ht="15" hidden="false" customHeight="false" outlineLevel="0" collapsed="false">
      <c r="A99" s="19" t="s">
        <v>318</v>
      </c>
      <c r="B99" s="20" t="s">
        <v>319</v>
      </c>
      <c r="C99" s="19" t="s">
        <v>108</v>
      </c>
      <c r="D99" s="19" t="s">
        <v>314</v>
      </c>
      <c r="E99" s="21" t="n">
        <v>2</v>
      </c>
      <c r="F99" s="22" t="n">
        <f aca="false">IF(D99="",0,E99*INDEX(Gangs!$D:$D,MATCH(D99,Gangs!$A:$A,0)))</f>
        <v>407.4992</v>
      </c>
      <c r="G99" s="19" t="s">
        <v>315</v>
      </c>
      <c r="H99" s="21" t="n">
        <v>55</v>
      </c>
      <c r="I99" s="19" t="s">
        <v>291</v>
      </c>
      <c r="J99" s="21" t="n">
        <v>55</v>
      </c>
      <c r="K99" s="19" t="s">
        <v>156</v>
      </c>
      <c r="L99" s="21" t="n">
        <v>0.042</v>
      </c>
      <c r="M99" s="22" t="n">
        <f aca="false">IF(G99="",0,H99*INDEX(Materials!$E:$E,MATCH(G99,Materials!$A:$A,0)))+IF(I99="",0,J99*INDEX(Materials!$E:$E,MATCH(I99,Materials!$A:$A,0)))+IF(K99="",0,L99*INDEX(Materials!$E:$E,MATCH(K99,Materials!$A:$A,0)))</f>
        <v>466.216</v>
      </c>
      <c r="N99" s="23" t="n">
        <v>12</v>
      </c>
      <c r="O99" s="19"/>
      <c r="P99" s="21"/>
      <c r="Q99" s="22" t="n">
        <f aca="false">IF(O99="",0,P99*INDEX(Plant!$D:$D,MATCH(O99,Plant!$A:$A,0)))</f>
        <v>0</v>
      </c>
      <c r="R99" s="24" t="n">
        <f aca="false">F99+M99+N99+Q99</f>
        <v>885.7152</v>
      </c>
      <c r="S99" s="22" t="n">
        <f aca="false">R99*Settings!$B$4*Settings!$B$9</f>
        <v>885.7152</v>
      </c>
      <c r="T99" s="24" t="n">
        <f aca="false">S99*(1+Settings!$B$10)</f>
        <v>1036.286784</v>
      </c>
    </row>
    <row r="100" customFormat="false" ht="15" hidden="false" customHeight="false" outlineLevel="0" collapsed="false">
      <c r="A100" s="19" t="s">
        <v>320</v>
      </c>
      <c r="B100" s="20" t="s">
        <v>321</v>
      </c>
      <c r="C100" s="19" t="s">
        <v>108</v>
      </c>
      <c r="D100" s="19" t="s">
        <v>154</v>
      </c>
      <c r="E100" s="21" t="n">
        <v>1.4</v>
      </c>
      <c r="F100" s="22" t="n">
        <f aca="false">IF(D100="",0,E100*INDEX(Gangs!$D:$D,MATCH(D100,Gangs!$A:$A,0)))</f>
        <v>232.57472</v>
      </c>
      <c r="G100" s="19" t="s">
        <v>297</v>
      </c>
      <c r="H100" s="21" t="n">
        <v>110</v>
      </c>
      <c r="I100" s="19" t="s">
        <v>156</v>
      </c>
      <c r="J100" s="21" t="n">
        <v>0.05</v>
      </c>
      <c r="K100" s="19"/>
      <c r="L100" s="21"/>
      <c r="M100" s="22" t="n">
        <f aca="false">IF(G100="",0,H100*INDEX(Materials!$E:$E,MATCH(G100,Materials!$A:$A,0)))+IF(I100="",0,J100*INDEX(Materials!$E:$E,MATCH(I100,Materials!$A:$A,0)))+IF(K100="",0,L100*INDEX(Materials!$E:$E,MATCH(K100,Materials!$A:$A,0)))</f>
        <v>288.4</v>
      </c>
      <c r="N100" s="23" t="n">
        <v>0</v>
      </c>
      <c r="O100" s="19"/>
      <c r="P100" s="21"/>
      <c r="Q100" s="22" t="n">
        <f aca="false">IF(O100="",0,P100*INDEX(Plant!$D:$D,MATCH(O100,Plant!$A:$A,0)))</f>
        <v>0</v>
      </c>
      <c r="R100" s="24" t="n">
        <f aca="false">F100+M100+N100+Q100</f>
        <v>520.97472</v>
      </c>
      <c r="S100" s="22" t="n">
        <f aca="false">R100*Settings!$B$4*Settings!$B$9</f>
        <v>520.97472</v>
      </c>
      <c r="T100" s="24" t="n">
        <f aca="false">S100*(1+Settings!$B$10)</f>
        <v>609.5404224</v>
      </c>
    </row>
    <row r="101" customFormat="false" ht="15" hidden="false" customHeight="false" outlineLevel="0" collapsed="false">
      <c r="A101" s="19" t="s">
        <v>322</v>
      </c>
      <c r="B101" s="20" t="s">
        <v>323</v>
      </c>
      <c r="C101" s="19" t="s">
        <v>256</v>
      </c>
      <c r="D101" s="19" t="s">
        <v>154</v>
      </c>
      <c r="E101" s="21" t="n">
        <v>0.01</v>
      </c>
      <c r="F101" s="22" t="n">
        <f aca="false">IF(D101="",0,E101*INDEX(Gangs!$D:$D,MATCH(D101,Gangs!$A:$A,0)))</f>
        <v>1.661248</v>
      </c>
      <c r="G101" s="19" t="s">
        <v>292</v>
      </c>
      <c r="H101" s="21" t="n">
        <v>1.05</v>
      </c>
      <c r="I101" s="19"/>
      <c r="J101" s="21"/>
      <c r="K101" s="19"/>
      <c r="L101" s="21"/>
      <c r="M101" s="22" t="n">
        <f aca="false">IF(G101="",0,H101*INDEX(Materials!$E:$E,MATCH(G101,Materials!$A:$A,0)))+IF(I101="",0,J101*INDEX(Materials!$E:$E,MATCH(I101,Materials!$A:$A,0)))+IF(K101="",0,L101*INDEX(Materials!$E:$E,MATCH(K101,Materials!$A:$A,0)))</f>
        <v>3.255</v>
      </c>
      <c r="N101" s="23" t="n">
        <v>0</v>
      </c>
      <c r="O101" s="19"/>
      <c r="P101" s="21"/>
      <c r="Q101" s="22" t="n">
        <f aca="false">IF(O101="",0,P101*INDEX(Plant!$D:$D,MATCH(O101,Plant!$A:$A,0)))</f>
        <v>0</v>
      </c>
      <c r="R101" s="24" t="n">
        <f aca="false">F101+M101+N101+Q101</f>
        <v>4.916248</v>
      </c>
      <c r="S101" s="22" t="n">
        <f aca="false">R101*Settings!$B$4*Settings!$B$9</f>
        <v>4.916248</v>
      </c>
      <c r="T101" s="24" t="n">
        <f aca="false">S101*(1+Settings!$B$10)</f>
        <v>5.75201016</v>
      </c>
    </row>
    <row r="102" customFormat="false" ht="15" hidden="false" customHeight="false" outlineLevel="0" collapsed="false">
      <c r="A102" s="19" t="s">
        <v>324</v>
      </c>
      <c r="B102" s="20" t="s">
        <v>325</v>
      </c>
      <c r="C102" s="19" t="s">
        <v>256</v>
      </c>
      <c r="D102" s="19" t="s">
        <v>154</v>
      </c>
      <c r="E102" s="21" t="n">
        <v>0.03</v>
      </c>
      <c r="F102" s="22" t="n">
        <f aca="false">IF(D102="",0,E102*INDEX(Gangs!$D:$D,MATCH(D102,Gangs!$A:$A,0)))</f>
        <v>4.983744</v>
      </c>
      <c r="G102" s="19" t="s">
        <v>326</v>
      </c>
      <c r="H102" s="21" t="n">
        <v>1.1</v>
      </c>
      <c r="I102" s="19"/>
      <c r="J102" s="21"/>
      <c r="K102" s="19"/>
      <c r="L102" s="21"/>
      <c r="M102" s="22" t="n">
        <f aca="false">IF(G102="",0,H102*INDEX(Materials!$E:$E,MATCH(G102,Materials!$A:$A,0)))+IF(I102="",0,J102*INDEX(Materials!$E:$E,MATCH(I102,Materials!$A:$A,0)))+IF(K102="",0,L102*INDEX(Materials!$E:$E,MATCH(K102,Materials!$A:$A,0)))</f>
        <v>8.25</v>
      </c>
      <c r="N102" s="23" t="n">
        <v>0</v>
      </c>
      <c r="O102" s="19"/>
      <c r="P102" s="21"/>
      <c r="Q102" s="22" t="n">
        <f aca="false">IF(O102="",0,P102*INDEX(Plant!$D:$D,MATCH(O102,Plant!$A:$A,0)))</f>
        <v>0</v>
      </c>
      <c r="R102" s="24" t="n">
        <f aca="false">F102+M102+N102+Q102</f>
        <v>13.233744</v>
      </c>
      <c r="S102" s="22" t="n">
        <f aca="false">R102*Settings!$B$4*Settings!$B$9</f>
        <v>13.233744</v>
      </c>
      <c r="T102" s="24" t="n">
        <f aca="false">S102*(1+Settings!$B$10)</f>
        <v>15.48348048</v>
      </c>
    </row>
    <row r="103" customFormat="false" ht="15" hidden="false" customHeight="false" outlineLevel="0" collapsed="false">
      <c r="A103" s="19" t="s">
        <v>327</v>
      </c>
      <c r="B103" s="20" t="s">
        <v>328</v>
      </c>
      <c r="C103" s="19" t="s">
        <v>256</v>
      </c>
      <c r="D103" s="19" t="s">
        <v>154</v>
      </c>
      <c r="E103" s="21" t="n">
        <v>0.025</v>
      </c>
      <c r="F103" s="22" t="n">
        <f aca="false">IF(D103="",0,E103*INDEX(Gangs!$D:$D,MATCH(D103,Gangs!$A:$A,0)))</f>
        <v>4.15312</v>
      </c>
      <c r="G103" s="19" t="s">
        <v>329</v>
      </c>
      <c r="H103" s="21" t="n">
        <v>1.1</v>
      </c>
      <c r="I103" s="19"/>
      <c r="J103" s="21"/>
      <c r="K103" s="19"/>
      <c r="L103" s="21"/>
      <c r="M103" s="22" t="n">
        <f aca="false">IF(G103="",0,H103*INDEX(Materials!$E:$E,MATCH(G103,Materials!$A:$A,0)))+IF(I103="",0,J103*INDEX(Materials!$E:$E,MATCH(I103,Materials!$A:$A,0)))+IF(K103="",0,L103*INDEX(Materials!$E:$E,MATCH(K103,Materials!$A:$A,0)))</f>
        <v>5.06</v>
      </c>
      <c r="N103" s="23" t="n">
        <v>0</v>
      </c>
      <c r="O103" s="19"/>
      <c r="P103" s="21"/>
      <c r="Q103" s="22" t="n">
        <f aca="false">IF(O103="",0,P103*INDEX(Plant!$D:$D,MATCH(O103,Plant!$A:$A,0)))</f>
        <v>0</v>
      </c>
      <c r="R103" s="24" t="n">
        <f aca="false">F103+M103+N103+Q103</f>
        <v>9.21312</v>
      </c>
      <c r="S103" s="22" t="n">
        <f aca="false">R103*Settings!$B$4*Settings!$B$9</f>
        <v>9.21312</v>
      </c>
      <c r="T103" s="24" t="n">
        <f aca="false">S103*(1+Settings!$B$10)</f>
        <v>10.7793504</v>
      </c>
    </row>
    <row r="104" customFormat="false" ht="15" hidden="false" customHeight="false" outlineLevel="0" collapsed="false">
      <c r="A104" s="19" t="s">
        <v>330</v>
      </c>
      <c r="B104" s="20" t="s">
        <v>331</v>
      </c>
      <c r="C104" s="19" t="s">
        <v>256</v>
      </c>
      <c r="D104" s="19" t="s">
        <v>314</v>
      </c>
      <c r="E104" s="21" t="n">
        <v>0.5</v>
      </c>
      <c r="F104" s="22" t="n">
        <f aca="false">IF(D104="",0,E104*INDEX(Gangs!$D:$D,MATCH(D104,Gangs!$A:$A,0)))</f>
        <v>101.8748</v>
      </c>
      <c r="G104" s="19" t="s">
        <v>315</v>
      </c>
      <c r="H104" s="21" t="n">
        <v>14</v>
      </c>
      <c r="I104" s="19" t="s">
        <v>156</v>
      </c>
      <c r="J104" s="21" t="n">
        <v>0.004</v>
      </c>
      <c r="K104" s="19"/>
      <c r="L104" s="21"/>
      <c r="M104" s="22" t="n">
        <f aca="false">IF(G104="",0,H104*INDEX(Materials!$E:$E,MATCH(G104,Materials!$A:$A,0)))+IF(I104="",0,J104*INDEX(Materials!$E:$E,MATCH(I104,Materials!$A:$A,0)))+IF(K104="",0,L104*INDEX(Materials!$E:$E,MATCH(K104,Materials!$A:$A,0)))</f>
        <v>80.192</v>
      </c>
      <c r="N104" s="23" t="n">
        <v>0</v>
      </c>
      <c r="O104" s="19"/>
      <c r="P104" s="21"/>
      <c r="Q104" s="22" t="n">
        <f aca="false">IF(O104="",0,P104*INDEX(Plant!$D:$D,MATCH(O104,Plant!$A:$A,0)))</f>
        <v>0</v>
      </c>
      <c r="R104" s="24" t="n">
        <f aca="false">F104+M104+N104+Q104</f>
        <v>182.0668</v>
      </c>
      <c r="S104" s="22" t="n">
        <f aca="false">R104*Settings!$B$4*Settings!$B$9</f>
        <v>182.0668</v>
      </c>
      <c r="T104" s="24" t="n">
        <f aca="false">S104*(1+Settings!$B$10)</f>
        <v>213.018156</v>
      </c>
    </row>
    <row r="105" customFormat="false" ht="15" hidden="false" customHeight="false" outlineLevel="0" collapsed="false">
      <c r="A105" s="19" t="s">
        <v>332</v>
      </c>
      <c r="B105" s="20" t="s">
        <v>333</v>
      </c>
      <c r="C105" s="19" t="s">
        <v>108</v>
      </c>
      <c r="D105" s="19" t="s">
        <v>314</v>
      </c>
      <c r="E105" s="21" t="n">
        <v>0.6</v>
      </c>
      <c r="F105" s="22" t="n">
        <f aca="false">IF(D105="",0,E105*INDEX(Gangs!$D:$D,MATCH(D105,Gangs!$A:$A,0)))</f>
        <v>122.24976</v>
      </c>
      <c r="G105" s="19" t="s">
        <v>156</v>
      </c>
      <c r="H105" s="21" t="n">
        <v>0.003</v>
      </c>
      <c r="I105" s="19"/>
      <c r="J105" s="21"/>
      <c r="K105" s="19"/>
      <c r="L105" s="21"/>
      <c r="M105" s="22" t="n">
        <f aca="false">IF(G105="",0,H105*INDEX(Materials!$E:$E,MATCH(G105,Materials!$A:$A,0)))+IF(I105="",0,J105*INDEX(Materials!$E:$E,MATCH(I105,Materials!$A:$A,0)))+IF(K105="",0,L105*INDEX(Materials!$E:$E,MATCH(K105,Materials!$A:$A,0)))</f>
        <v>3.444</v>
      </c>
      <c r="N105" s="23" t="n">
        <v>0</v>
      </c>
      <c r="O105" s="19"/>
      <c r="P105" s="21"/>
      <c r="Q105" s="22" t="n">
        <f aca="false">IF(O105="",0,P105*INDEX(Plant!$D:$D,MATCH(O105,Plant!$A:$A,0)))</f>
        <v>0</v>
      </c>
      <c r="R105" s="24" t="n">
        <f aca="false">F105+M105+N105+Q105</f>
        <v>125.69376</v>
      </c>
      <c r="S105" s="22" t="n">
        <f aca="false">R105*Settings!$B$4*Settings!$B$9</f>
        <v>125.69376</v>
      </c>
      <c r="T105" s="24" t="n">
        <f aca="false">S105*(1+Settings!$B$10)</f>
        <v>147.0616992</v>
      </c>
    </row>
    <row r="106" customFormat="false" ht="15" hidden="false" customHeight="false" outlineLevel="0" collapsed="false">
      <c r="A106" s="19" t="s">
        <v>334</v>
      </c>
      <c r="B106" s="20" t="s">
        <v>335</v>
      </c>
      <c r="C106" s="19" t="s">
        <v>96</v>
      </c>
      <c r="D106" s="19" t="s">
        <v>154</v>
      </c>
      <c r="E106" s="21" t="n">
        <v>0.05</v>
      </c>
      <c r="F106" s="22" t="n">
        <f aca="false">IF(D106="",0,E106*INDEX(Gangs!$D:$D,MATCH(D106,Gangs!$A:$A,0)))</f>
        <v>8.30624</v>
      </c>
      <c r="G106" s="19" t="s">
        <v>336</v>
      </c>
      <c r="H106" s="21" t="n">
        <v>1.5</v>
      </c>
      <c r="I106" s="19"/>
      <c r="J106" s="21"/>
      <c r="K106" s="19"/>
      <c r="L106" s="21"/>
      <c r="M106" s="22" t="n">
        <f aca="false">IF(G106="",0,H106*INDEX(Materials!$E:$E,MATCH(G106,Materials!$A:$A,0)))+IF(I106="",0,J106*INDEX(Materials!$E:$E,MATCH(I106,Materials!$A:$A,0)))+IF(K106="",0,L106*INDEX(Materials!$E:$E,MATCH(K106,Materials!$A:$A,0)))</f>
        <v>6.75</v>
      </c>
      <c r="N106" s="23" t="n">
        <v>0</v>
      </c>
      <c r="O106" s="19"/>
      <c r="P106" s="21"/>
      <c r="Q106" s="22" t="n">
        <f aca="false">IF(O106="",0,P106*INDEX(Plant!$D:$D,MATCH(O106,Plant!$A:$A,0)))</f>
        <v>0</v>
      </c>
      <c r="R106" s="24" t="n">
        <f aca="false">F106+M106+N106+Q106</f>
        <v>15.05624</v>
      </c>
      <c r="S106" s="22" t="n">
        <f aca="false">R106*Settings!$B$4*Settings!$B$9</f>
        <v>15.05624</v>
      </c>
      <c r="T106" s="24" t="n">
        <f aca="false">S106*(1+Settings!$B$10)</f>
        <v>17.6158008</v>
      </c>
    </row>
    <row r="107" customFormat="false" ht="15" hidden="false" customHeight="false" outlineLevel="0" collapsed="false">
      <c r="A107" s="19" t="s">
        <v>337</v>
      </c>
      <c r="B107" s="20" t="s">
        <v>338</v>
      </c>
      <c r="C107" s="19" t="s">
        <v>256</v>
      </c>
      <c r="D107" s="19"/>
      <c r="E107" s="21"/>
      <c r="F107" s="22" t="n">
        <f aca="false">IF(D107="",0,E107*INDEX(Gangs!$D:$D,MATCH(D107,Gangs!$A:$A,0)))</f>
        <v>0</v>
      </c>
      <c r="G107" s="19" t="s">
        <v>339</v>
      </c>
      <c r="H107" s="21" t="n">
        <v>1</v>
      </c>
      <c r="I107" s="19"/>
      <c r="J107" s="21"/>
      <c r="K107" s="19"/>
      <c r="L107" s="21"/>
      <c r="M107" s="22" t="n">
        <f aca="false">IF(G107="",0,H107*INDEX(Materials!$E:$E,MATCH(G107,Materials!$A:$A,0)))+IF(I107="",0,J107*INDEX(Materials!$E:$E,MATCH(I107,Materials!$A:$A,0)))+IF(K107="",0,L107*INDEX(Materials!$E:$E,MATCH(K107,Materials!$A:$A,0)))</f>
        <v>780</v>
      </c>
      <c r="N107" s="23" t="n">
        <v>0</v>
      </c>
      <c r="O107" s="19"/>
      <c r="P107" s="21"/>
      <c r="Q107" s="22" t="n">
        <f aca="false">IF(O107="",0,P107*INDEX(Plant!$D:$D,MATCH(O107,Plant!$A:$A,0)))</f>
        <v>0</v>
      </c>
      <c r="R107" s="24" t="n">
        <f aca="false">F107+M107+N107+Q107</f>
        <v>780</v>
      </c>
      <c r="S107" s="22" t="n">
        <f aca="false">R107*Settings!$B$4*Settings!$B$9</f>
        <v>780</v>
      </c>
      <c r="T107" s="24" t="n">
        <f aca="false">S107*(1+Settings!$B$10)</f>
        <v>912.6</v>
      </c>
    </row>
    <row r="108" customFormat="false" ht="15" hidden="false" customHeight="false" outlineLevel="0" collapsed="false">
      <c r="A108" s="17" t="s">
        <v>340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customFormat="false" ht="15" hidden="false" customHeight="false" outlineLevel="0" collapsed="false">
      <c r="A109" s="19" t="s">
        <v>341</v>
      </c>
      <c r="B109" s="20" t="s">
        <v>342</v>
      </c>
      <c r="C109" s="19" t="s">
        <v>108</v>
      </c>
      <c r="D109" s="19" t="s">
        <v>343</v>
      </c>
      <c r="E109" s="21" t="n">
        <v>0.25</v>
      </c>
      <c r="F109" s="22" t="n">
        <f aca="false">IF(D109="",0,E109*INDEX(Gangs!$D:$D,MATCH(D109,Gangs!$A:$A,0)))</f>
        <v>34.0043125</v>
      </c>
      <c r="G109" s="19" t="s">
        <v>344</v>
      </c>
      <c r="H109" s="21" t="n">
        <v>1.15</v>
      </c>
      <c r="I109" s="19" t="s">
        <v>345</v>
      </c>
      <c r="J109" s="21" t="n">
        <v>0.3</v>
      </c>
      <c r="K109" s="19"/>
      <c r="L109" s="21"/>
      <c r="M109" s="22" t="n">
        <f aca="false">IF(G109="",0,H109*INDEX(Materials!$E:$E,MATCH(G109,Materials!$A:$A,0)))+IF(I109="",0,J109*INDEX(Materials!$E:$E,MATCH(I109,Materials!$A:$A,0)))+IF(K109="",0,L109*INDEX(Materials!$E:$E,MATCH(K109,Materials!$A:$A,0)))</f>
        <v>126.8</v>
      </c>
      <c r="N109" s="23" t="n">
        <v>0</v>
      </c>
      <c r="O109" s="19"/>
      <c r="P109" s="21"/>
      <c r="Q109" s="22" t="n">
        <f aca="false">IF(O109="",0,P109*INDEX(Plant!$D:$D,MATCH(O109,Plant!$A:$A,0)))</f>
        <v>0</v>
      </c>
      <c r="R109" s="24" t="n">
        <f aca="false">F109+M109+N109+Q109</f>
        <v>160.8043125</v>
      </c>
      <c r="S109" s="22" t="n">
        <f aca="false">R109*Settings!$B$4*Settings!$B$9</f>
        <v>160.8043125</v>
      </c>
      <c r="T109" s="24" t="n">
        <f aca="false">S109*(1+Settings!$B$10)</f>
        <v>188.141045625</v>
      </c>
    </row>
    <row r="110" customFormat="false" ht="15" hidden="false" customHeight="false" outlineLevel="0" collapsed="false">
      <c r="A110" s="19" t="s">
        <v>346</v>
      </c>
      <c r="B110" s="20" t="s">
        <v>347</v>
      </c>
      <c r="C110" s="19" t="s">
        <v>108</v>
      </c>
      <c r="D110" s="19" t="s">
        <v>343</v>
      </c>
      <c r="E110" s="21" t="n">
        <v>0.45</v>
      </c>
      <c r="F110" s="22" t="n">
        <f aca="false">IF(D110="",0,E110*INDEX(Gangs!$D:$D,MATCH(D110,Gangs!$A:$A,0)))</f>
        <v>61.2077625</v>
      </c>
      <c r="G110" s="19" t="s">
        <v>344</v>
      </c>
      <c r="H110" s="21" t="n">
        <v>2.3</v>
      </c>
      <c r="I110" s="19" t="s">
        <v>345</v>
      </c>
      <c r="J110" s="21" t="n">
        <v>0.3</v>
      </c>
      <c r="K110" s="19"/>
      <c r="L110" s="21"/>
      <c r="M110" s="22" t="n">
        <f aca="false">IF(G110="",0,H110*INDEX(Materials!$E:$E,MATCH(G110,Materials!$A:$A,0)))+IF(I110="",0,J110*INDEX(Materials!$E:$E,MATCH(I110,Materials!$A:$A,0)))+IF(K110="",0,L110*INDEX(Materials!$E:$E,MATCH(K110,Materials!$A:$A,0)))</f>
        <v>232.6</v>
      </c>
      <c r="N110" s="23" t="n">
        <v>0</v>
      </c>
      <c r="O110" s="19"/>
      <c r="P110" s="21"/>
      <c r="Q110" s="22" t="n">
        <f aca="false">IF(O110="",0,P110*INDEX(Plant!$D:$D,MATCH(O110,Plant!$A:$A,0)))</f>
        <v>0</v>
      </c>
      <c r="R110" s="24" t="n">
        <f aca="false">F110+M110+N110+Q110</f>
        <v>293.8077625</v>
      </c>
      <c r="S110" s="22" t="n">
        <f aca="false">R110*Settings!$B$4*Settings!$B$9</f>
        <v>293.8077625</v>
      </c>
      <c r="T110" s="24" t="n">
        <f aca="false">S110*(1+Settings!$B$10)</f>
        <v>343.755082125</v>
      </c>
    </row>
    <row r="111" customFormat="false" ht="15" hidden="false" customHeight="false" outlineLevel="0" collapsed="false">
      <c r="A111" s="19" t="s">
        <v>348</v>
      </c>
      <c r="B111" s="20" t="s">
        <v>349</v>
      </c>
      <c r="C111" s="19" t="s">
        <v>108</v>
      </c>
      <c r="D111" s="19" t="s">
        <v>343</v>
      </c>
      <c r="E111" s="21" t="n">
        <v>0.3</v>
      </c>
      <c r="F111" s="22" t="n">
        <f aca="false">IF(D111="",0,E111*INDEX(Gangs!$D:$D,MATCH(D111,Gangs!$A:$A,0)))</f>
        <v>40.805175</v>
      </c>
      <c r="G111" s="19" t="s">
        <v>350</v>
      </c>
      <c r="H111" s="21" t="n">
        <v>1</v>
      </c>
      <c r="I111" s="19"/>
      <c r="J111" s="21"/>
      <c r="K111" s="19"/>
      <c r="L111" s="21"/>
      <c r="M111" s="22" t="n">
        <f aca="false">IF(G111="",0,H111*INDEX(Materials!$E:$E,MATCH(G111,Materials!$A:$A,0)))+IF(I111="",0,J111*INDEX(Materials!$E:$E,MATCH(I111,Materials!$A:$A,0)))+IF(K111="",0,L111*INDEX(Materials!$E:$E,MATCH(K111,Materials!$A:$A,0)))</f>
        <v>75</v>
      </c>
      <c r="N111" s="23" t="n">
        <v>0</v>
      </c>
      <c r="O111" s="19"/>
      <c r="P111" s="21"/>
      <c r="Q111" s="22" t="n">
        <f aca="false">IF(O111="",0,P111*INDEX(Plant!$D:$D,MATCH(O111,Plant!$A:$A,0)))</f>
        <v>0</v>
      </c>
      <c r="R111" s="24" t="n">
        <f aca="false">F111+M111+N111+Q111</f>
        <v>115.805175</v>
      </c>
      <c r="S111" s="22" t="n">
        <f aca="false">R111*Settings!$B$4*Settings!$B$9</f>
        <v>115.805175</v>
      </c>
      <c r="T111" s="24" t="n">
        <f aca="false">S111*(1+Settings!$B$10)</f>
        <v>135.49205475</v>
      </c>
    </row>
    <row r="112" customFormat="false" ht="15" hidden="false" customHeight="false" outlineLevel="0" collapsed="false">
      <c r="A112" s="19" t="s">
        <v>351</v>
      </c>
      <c r="B112" s="20" t="s">
        <v>352</v>
      </c>
      <c r="C112" s="19" t="s">
        <v>108</v>
      </c>
      <c r="D112" s="19" t="s">
        <v>343</v>
      </c>
      <c r="E112" s="21" t="n">
        <v>0.3</v>
      </c>
      <c r="F112" s="22" t="n">
        <f aca="false">IF(D112="",0,E112*INDEX(Gangs!$D:$D,MATCH(D112,Gangs!$A:$A,0)))</f>
        <v>40.805175</v>
      </c>
      <c r="G112" s="19" t="s">
        <v>353</v>
      </c>
      <c r="H112" s="21" t="n">
        <v>1</v>
      </c>
      <c r="I112" s="19"/>
      <c r="J112" s="21"/>
      <c r="K112" s="19"/>
      <c r="L112" s="21"/>
      <c r="M112" s="22" t="n">
        <f aca="false">IF(G112="",0,H112*INDEX(Materials!$E:$E,MATCH(G112,Materials!$A:$A,0)))+IF(I112="",0,J112*INDEX(Materials!$E:$E,MATCH(I112,Materials!$A:$A,0)))+IF(K112="",0,L112*INDEX(Materials!$E:$E,MATCH(K112,Materials!$A:$A,0)))</f>
        <v>68</v>
      </c>
      <c r="N112" s="23" t="n">
        <v>0</v>
      </c>
      <c r="O112" s="19"/>
      <c r="P112" s="21"/>
      <c r="Q112" s="22" t="n">
        <f aca="false">IF(O112="",0,P112*INDEX(Plant!$D:$D,MATCH(O112,Plant!$A:$A,0)))</f>
        <v>0</v>
      </c>
      <c r="R112" s="24" t="n">
        <f aca="false">F112+M112+N112+Q112</f>
        <v>108.805175</v>
      </c>
      <c r="S112" s="22" t="n">
        <f aca="false">R112*Settings!$B$4*Settings!$B$9</f>
        <v>108.805175</v>
      </c>
      <c r="T112" s="24" t="n">
        <f aca="false">S112*(1+Settings!$B$10)</f>
        <v>127.30205475</v>
      </c>
    </row>
    <row r="113" customFormat="false" ht="15" hidden="false" customHeight="false" outlineLevel="0" collapsed="false">
      <c r="A113" s="19" t="s">
        <v>354</v>
      </c>
      <c r="B113" s="20" t="s">
        <v>355</v>
      </c>
      <c r="C113" s="19" t="s">
        <v>108</v>
      </c>
      <c r="D113" s="19" t="s">
        <v>343</v>
      </c>
      <c r="E113" s="21" t="n">
        <v>0.05</v>
      </c>
      <c r="F113" s="22" t="n">
        <f aca="false">IF(D113="",0,E113*INDEX(Gangs!$D:$D,MATCH(D113,Gangs!$A:$A,0)))</f>
        <v>6.8008625</v>
      </c>
      <c r="G113" s="19" t="s">
        <v>356</v>
      </c>
      <c r="H113" s="21" t="n">
        <v>0.25</v>
      </c>
      <c r="I113" s="19"/>
      <c r="J113" s="21"/>
      <c r="K113" s="19"/>
      <c r="L113" s="21"/>
      <c r="M113" s="22" t="n">
        <f aca="false">IF(G113="",0,H113*INDEX(Materials!$E:$E,MATCH(G113,Materials!$A:$A,0)))+IF(I113="",0,J113*INDEX(Materials!$E:$E,MATCH(I113,Materials!$A:$A,0)))+IF(K113="",0,L113*INDEX(Materials!$E:$E,MATCH(K113,Materials!$A:$A,0)))</f>
        <v>27.5</v>
      </c>
      <c r="N113" s="23" t="n">
        <v>0</v>
      </c>
      <c r="O113" s="19"/>
      <c r="P113" s="21"/>
      <c r="Q113" s="22" t="n">
        <f aca="false">IF(O113="",0,P113*INDEX(Plant!$D:$D,MATCH(O113,Plant!$A:$A,0)))</f>
        <v>0</v>
      </c>
      <c r="R113" s="24" t="n">
        <f aca="false">F113+M113+N113+Q113</f>
        <v>34.3008625</v>
      </c>
      <c r="S113" s="22" t="n">
        <f aca="false">R113*Settings!$B$4*Settings!$B$9</f>
        <v>34.3008625</v>
      </c>
      <c r="T113" s="24" t="n">
        <f aca="false">S113*(1+Settings!$B$10)</f>
        <v>40.132009125</v>
      </c>
    </row>
    <row r="114" customFormat="false" ht="15" hidden="false" customHeight="false" outlineLevel="0" collapsed="false">
      <c r="A114" s="19" t="s">
        <v>357</v>
      </c>
      <c r="B114" s="20" t="s">
        <v>358</v>
      </c>
      <c r="C114" s="19" t="s">
        <v>256</v>
      </c>
      <c r="D114" s="19" t="s">
        <v>343</v>
      </c>
      <c r="E114" s="21" t="n">
        <v>0.2</v>
      </c>
      <c r="F114" s="22" t="n">
        <f aca="false">IF(D114="",0,E114*INDEX(Gangs!$D:$D,MATCH(D114,Gangs!$A:$A,0)))</f>
        <v>27.20345</v>
      </c>
      <c r="G114" s="19" t="s">
        <v>344</v>
      </c>
      <c r="H114" s="21" t="n">
        <v>0.35</v>
      </c>
      <c r="I114" s="19" t="s">
        <v>345</v>
      </c>
      <c r="J114" s="21" t="n">
        <v>0.1</v>
      </c>
      <c r="K114" s="19"/>
      <c r="L114" s="21"/>
      <c r="M114" s="22" t="n">
        <f aca="false">IF(G114="",0,H114*INDEX(Materials!$E:$E,MATCH(G114,Materials!$A:$A,0)))+IF(I114="",0,J114*INDEX(Materials!$E:$E,MATCH(I114,Materials!$A:$A,0)))+IF(K114="",0,L114*INDEX(Materials!$E:$E,MATCH(K114,Materials!$A:$A,0)))</f>
        <v>39.2</v>
      </c>
      <c r="N114" s="23" t="n">
        <v>0</v>
      </c>
      <c r="O114" s="19"/>
      <c r="P114" s="21"/>
      <c r="Q114" s="22" t="n">
        <f aca="false">IF(O114="",0,P114*INDEX(Plant!$D:$D,MATCH(O114,Plant!$A:$A,0)))</f>
        <v>0</v>
      </c>
      <c r="R114" s="24" t="n">
        <f aca="false">F114+M114+N114+Q114</f>
        <v>66.40345</v>
      </c>
      <c r="S114" s="22" t="n">
        <f aca="false">R114*Settings!$B$4*Settings!$B$9</f>
        <v>66.40345</v>
      </c>
      <c r="T114" s="24" t="n">
        <f aca="false">S114*(1+Settings!$B$10)</f>
        <v>77.6920365</v>
      </c>
    </row>
    <row r="115" customFormat="false" ht="15" hidden="false" customHeight="false" outlineLevel="0" collapsed="false">
      <c r="A115" s="19" t="s">
        <v>359</v>
      </c>
      <c r="B115" s="20" t="s">
        <v>360</v>
      </c>
      <c r="C115" s="19" t="s">
        <v>108</v>
      </c>
      <c r="D115" s="19" t="s">
        <v>343</v>
      </c>
      <c r="E115" s="21" t="n">
        <v>0.4</v>
      </c>
      <c r="F115" s="22" t="n">
        <f aca="false">IF(D115="",0,E115*INDEX(Gangs!$D:$D,MATCH(D115,Gangs!$A:$A,0)))</f>
        <v>54.4069</v>
      </c>
      <c r="G115" s="19" t="s">
        <v>344</v>
      </c>
      <c r="H115" s="21" t="n">
        <v>1.15</v>
      </c>
      <c r="I115" s="19" t="s">
        <v>345</v>
      </c>
      <c r="J115" s="21" t="n">
        <v>0.3</v>
      </c>
      <c r="K115" s="19"/>
      <c r="L115" s="21"/>
      <c r="M115" s="22" t="n">
        <f aca="false">IF(G115="",0,H115*INDEX(Materials!$E:$E,MATCH(G115,Materials!$A:$A,0)))+IF(I115="",0,J115*INDEX(Materials!$E:$E,MATCH(I115,Materials!$A:$A,0)))+IF(K115="",0,L115*INDEX(Materials!$E:$E,MATCH(K115,Materials!$A:$A,0)))</f>
        <v>126.8</v>
      </c>
      <c r="N115" s="23" t="n">
        <v>0</v>
      </c>
      <c r="O115" s="19"/>
      <c r="P115" s="21"/>
      <c r="Q115" s="22" t="n">
        <f aca="false">IF(O115="",0,P115*INDEX(Plant!$D:$D,MATCH(O115,Plant!$A:$A,0)))</f>
        <v>0</v>
      </c>
      <c r="R115" s="24" t="n">
        <f aca="false">F115+M115+N115+Q115</f>
        <v>181.2069</v>
      </c>
      <c r="S115" s="22" t="n">
        <f aca="false">R115*Settings!$B$4*Settings!$B$9</f>
        <v>181.2069</v>
      </c>
      <c r="T115" s="24" t="n">
        <f aca="false">S115*(1+Settings!$B$10)</f>
        <v>212.012073</v>
      </c>
    </row>
    <row r="116" customFormat="false" ht="15" hidden="false" customHeight="false" outlineLevel="0" collapsed="false">
      <c r="A116" s="17" t="s">
        <v>361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 customFormat="false" ht="23.85" hidden="false" customHeight="false" outlineLevel="0" collapsed="false">
      <c r="A117" s="19" t="s">
        <v>362</v>
      </c>
      <c r="B117" s="20" t="s">
        <v>363</v>
      </c>
      <c r="C117" s="19" t="s">
        <v>108</v>
      </c>
      <c r="D117" s="19" t="s">
        <v>364</v>
      </c>
      <c r="E117" s="21" t="n">
        <v>0.45</v>
      </c>
      <c r="F117" s="22" t="n">
        <f aca="false">IF(D117="",0,E117*INDEX(Gangs!$D:$D,MATCH(D117,Gangs!$A:$A,0)))</f>
        <v>91.68732</v>
      </c>
      <c r="G117" s="19" t="s">
        <v>365</v>
      </c>
      <c r="H117" s="21" t="n">
        <v>1</v>
      </c>
      <c r="I117" s="19"/>
      <c r="J117" s="21"/>
      <c r="K117" s="19"/>
      <c r="L117" s="21"/>
      <c r="M117" s="22" t="n">
        <f aca="false">IF(G117="",0,H117*INDEX(Materials!$E:$E,MATCH(G117,Materials!$A:$A,0)))+IF(I117="",0,J117*INDEX(Materials!$E:$E,MATCH(I117,Materials!$A:$A,0)))+IF(K117="",0,L117*INDEX(Materials!$E:$E,MATCH(K117,Materials!$A:$A,0)))</f>
        <v>330</v>
      </c>
      <c r="N117" s="23" t="n">
        <v>25</v>
      </c>
      <c r="O117" s="19"/>
      <c r="P117" s="21"/>
      <c r="Q117" s="22" t="n">
        <f aca="false">IF(O117="",0,P117*INDEX(Plant!$D:$D,MATCH(O117,Plant!$A:$A,0)))</f>
        <v>0</v>
      </c>
      <c r="R117" s="24" t="n">
        <f aca="false">F117+M117+N117+Q117</f>
        <v>446.68732</v>
      </c>
      <c r="S117" s="22" t="n">
        <f aca="false">R117*Settings!$B$4*Settings!$B$9</f>
        <v>446.68732</v>
      </c>
      <c r="T117" s="24" t="n">
        <f aca="false">S117*(1+Settings!$B$10)</f>
        <v>522.6241644</v>
      </c>
    </row>
    <row r="118" customFormat="false" ht="15" hidden="false" customHeight="false" outlineLevel="0" collapsed="false">
      <c r="A118" s="19" t="s">
        <v>366</v>
      </c>
      <c r="B118" s="20" t="s">
        <v>367</v>
      </c>
      <c r="C118" s="19" t="s">
        <v>108</v>
      </c>
      <c r="D118" s="19" t="s">
        <v>364</v>
      </c>
      <c r="E118" s="21" t="n">
        <v>0.6</v>
      </c>
      <c r="F118" s="22" t="n">
        <f aca="false">IF(D118="",0,E118*INDEX(Gangs!$D:$D,MATCH(D118,Gangs!$A:$A,0)))</f>
        <v>122.24976</v>
      </c>
      <c r="G118" s="19" t="s">
        <v>368</v>
      </c>
      <c r="H118" s="21" t="n">
        <v>2.6</v>
      </c>
      <c r="I118" s="19"/>
      <c r="J118" s="21"/>
      <c r="K118" s="19"/>
      <c r="L118" s="21"/>
      <c r="M118" s="22" t="n">
        <f aca="false">IF(G118="",0,H118*INDEX(Materials!$E:$E,MATCH(G118,Materials!$A:$A,0)))+IF(I118="",0,J118*INDEX(Materials!$E:$E,MATCH(I118,Materials!$A:$A,0)))+IF(K118="",0,L118*INDEX(Materials!$E:$E,MATCH(K118,Materials!$A:$A,0)))</f>
        <v>114.4</v>
      </c>
      <c r="N118" s="23" t="n">
        <v>15</v>
      </c>
      <c r="O118" s="19"/>
      <c r="P118" s="21"/>
      <c r="Q118" s="22" t="n">
        <f aca="false">IF(O118="",0,P118*INDEX(Plant!$D:$D,MATCH(O118,Plant!$A:$A,0)))</f>
        <v>0</v>
      </c>
      <c r="R118" s="24" t="n">
        <f aca="false">F118+M118+N118+Q118</f>
        <v>251.64976</v>
      </c>
      <c r="S118" s="22" t="n">
        <f aca="false">R118*Settings!$B$4*Settings!$B$9</f>
        <v>251.64976</v>
      </c>
      <c r="T118" s="24" t="n">
        <f aca="false">S118*(1+Settings!$B$10)</f>
        <v>294.4302192</v>
      </c>
    </row>
    <row r="119" customFormat="false" ht="15" hidden="false" customHeight="false" outlineLevel="0" collapsed="false">
      <c r="A119" s="19" t="s">
        <v>369</v>
      </c>
      <c r="B119" s="20" t="s">
        <v>370</v>
      </c>
      <c r="C119" s="19" t="s">
        <v>256</v>
      </c>
      <c r="D119" s="19" t="s">
        <v>364</v>
      </c>
      <c r="E119" s="21" t="n">
        <v>0.12</v>
      </c>
      <c r="F119" s="22" t="n">
        <f aca="false">IF(D119="",0,E119*INDEX(Gangs!$D:$D,MATCH(D119,Gangs!$A:$A,0)))</f>
        <v>24.449952</v>
      </c>
      <c r="G119" s="19" t="s">
        <v>368</v>
      </c>
      <c r="H119" s="21" t="n">
        <v>1.05</v>
      </c>
      <c r="I119" s="19" t="s">
        <v>336</v>
      </c>
      <c r="J119" s="21" t="n">
        <v>0.5</v>
      </c>
      <c r="K119" s="19"/>
      <c r="L119" s="21"/>
      <c r="M119" s="22" t="n">
        <f aca="false">IF(G119="",0,H119*INDEX(Materials!$E:$E,MATCH(G119,Materials!$A:$A,0)))+IF(I119="",0,J119*INDEX(Materials!$E:$E,MATCH(I119,Materials!$A:$A,0)))+IF(K119="",0,L119*INDEX(Materials!$E:$E,MATCH(K119,Materials!$A:$A,0)))</f>
        <v>48.45</v>
      </c>
      <c r="N119" s="23" t="n">
        <v>0</v>
      </c>
      <c r="O119" s="19"/>
      <c r="P119" s="21"/>
      <c r="Q119" s="22" t="n">
        <f aca="false">IF(O119="",0,P119*INDEX(Plant!$D:$D,MATCH(O119,Plant!$A:$A,0)))</f>
        <v>0</v>
      </c>
      <c r="R119" s="24" t="n">
        <f aca="false">F119+M119+N119+Q119</f>
        <v>72.899952</v>
      </c>
      <c r="S119" s="22" t="n">
        <f aca="false">R119*Settings!$B$4*Settings!$B$9</f>
        <v>72.899952</v>
      </c>
      <c r="T119" s="24" t="n">
        <f aca="false">S119*(1+Settings!$B$10)</f>
        <v>85.29294384</v>
      </c>
    </row>
    <row r="120" customFormat="false" ht="15" hidden="false" customHeight="false" outlineLevel="0" collapsed="false">
      <c r="A120" s="19" t="s">
        <v>371</v>
      </c>
      <c r="B120" s="20" t="s">
        <v>372</v>
      </c>
      <c r="C120" s="19" t="s">
        <v>108</v>
      </c>
      <c r="D120" s="19" t="s">
        <v>373</v>
      </c>
      <c r="E120" s="21" t="n">
        <v>0.9</v>
      </c>
      <c r="F120" s="22" t="n">
        <f aca="false">IF(D120="",0,E120*INDEX(Gangs!$D:$D,MATCH(D120,Gangs!$A:$A,0)))</f>
        <v>149.51232</v>
      </c>
      <c r="G120" s="19" t="s">
        <v>374</v>
      </c>
      <c r="H120" s="21" t="n">
        <v>1.05</v>
      </c>
      <c r="I120" s="19" t="s">
        <v>375</v>
      </c>
      <c r="J120" s="21" t="n">
        <v>3</v>
      </c>
      <c r="K120" s="19" t="s">
        <v>376</v>
      </c>
      <c r="L120" s="21" t="n">
        <v>1.1</v>
      </c>
      <c r="M120" s="22" t="n">
        <f aca="false">IF(G120="",0,H120*INDEX(Materials!$E:$E,MATCH(G120,Materials!$A:$A,0)))+IF(I120="",0,J120*INDEX(Materials!$E:$E,MATCH(I120,Materials!$A:$A,0)))+IF(K120="",0,L120*INDEX(Materials!$E:$E,MATCH(K120,Materials!$A:$A,0)))</f>
        <v>223.45</v>
      </c>
      <c r="N120" s="23" t="n">
        <v>8</v>
      </c>
      <c r="O120" s="19"/>
      <c r="P120" s="21"/>
      <c r="Q120" s="22" t="n">
        <f aca="false">IF(O120="",0,P120*INDEX(Plant!$D:$D,MATCH(O120,Plant!$A:$A,0)))</f>
        <v>0</v>
      </c>
      <c r="R120" s="24" t="n">
        <f aca="false">F120+M120+N120+Q120</f>
        <v>380.96232</v>
      </c>
      <c r="S120" s="22" t="n">
        <f aca="false">R120*Settings!$B$4*Settings!$B$9</f>
        <v>380.96232</v>
      </c>
      <c r="T120" s="24" t="n">
        <f aca="false">S120*(1+Settings!$B$10)</f>
        <v>445.7259144</v>
      </c>
    </row>
    <row r="121" customFormat="false" ht="15" hidden="false" customHeight="false" outlineLevel="0" collapsed="false">
      <c r="A121" s="19" t="s">
        <v>377</v>
      </c>
      <c r="B121" s="20" t="s">
        <v>378</v>
      </c>
      <c r="C121" s="19" t="s">
        <v>108</v>
      </c>
      <c r="D121" s="19" t="s">
        <v>373</v>
      </c>
      <c r="E121" s="21" t="n">
        <v>1</v>
      </c>
      <c r="F121" s="22" t="n">
        <f aca="false">IF(D121="",0,E121*INDEX(Gangs!$D:$D,MATCH(D121,Gangs!$A:$A,0)))</f>
        <v>166.1248</v>
      </c>
      <c r="G121" s="19" t="s">
        <v>379</v>
      </c>
      <c r="H121" s="21" t="n">
        <v>1.05</v>
      </c>
      <c r="I121" s="19" t="s">
        <v>375</v>
      </c>
      <c r="J121" s="21" t="n">
        <v>3.2</v>
      </c>
      <c r="K121" s="19" t="s">
        <v>376</v>
      </c>
      <c r="L121" s="21" t="n">
        <v>1.1</v>
      </c>
      <c r="M121" s="22" t="n">
        <f aca="false">IF(G121="",0,H121*INDEX(Materials!$E:$E,MATCH(G121,Materials!$A:$A,0)))+IF(I121="",0,J121*INDEX(Materials!$E:$E,MATCH(I121,Materials!$A:$A,0)))+IF(K121="",0,L121*INDEX(Materials!$E:$E,MATCH(K121,Materials!$A:$A,0)))</f>
        <v>398.8</v>
      </c>
      <c r="N121" s="23" t="n">
        <v>10</v>
      </c>
      <c r="O121" s="19"/>
      <c r="P121" s="21"/>
      <c r="Q121" s="22" t="n">
        <f aca="false">IF(O121="",0,P121*INDEX(Plant!$D:$D,MATCH(O121,Plant!$A:$A,0)))</f>
        <v>0</v>
      </c>
      <c r="R121" s="24" t="n">
        <f aca="false">F121+M121+N121+Q121</f>
        <v>574.9248</v>
      </c>
      <c r="S121" s="22" t="n">
        <f aca="false">R121*Settings!$B$4*Settings!$B$9</f>
        <v>574.9248</v>
      </c>
      <c r="T121" s="24" t="n">
        <f aca="false">S121*(1+Settings!$B$10)</f>
        <v>672.662016</v>
      </c>
    </row>
    <row r="122" customFormat="false" ht="15" hidden="false" customHeight="false" outlineLevel="0" collapsed="false">
      <c r="A122" s="19" t="s">
        <v>380</v>
      </c>
      <c r="B122" s="20" t="s">
        <v>381</v>
      </c>
      <c r="C122" s="19" t="s">
        <v>108</v>
      </c>
      <c r="D122" s="19" t="s">
        <v>373</v>
      </c>
      <c r="E122" s="21" t="n">
        <v>0.3</v>
      </c>
      <c r="F122" s="22" t="n">
        <f aca="false">IF(D122="",0,E122*INDEX(Gangs!$D:$D,MATCH(D122,Gangs!$A:$A,0)))</f>
        <v>49.83744</v>
      </c>
      <c r="G122" s="19" t="s">
        <v>382</v>
      </c>
      <c r="H122" s="21" t="n">
        <v>1.1</v>
      </c>
      <c r="I122" s="19"/>
      <c r="J122" s="21"/>
      <c r="K122" s="19"/>
      <c r="L122" s="21"/>
      <c r="M122" s="22" t="n">
        <f aca="false">IF(G122="",0,H122*INDEX(Materials!$E:$E,MATCH(G122,Materials!$A:$A,0)))+IF(I122="",0,J122*INDEX(Materials!$E:$E,MATCH(I122,Materials!$A:$A,0)))+IF(K122="",0,L122*INDEX(Materials!$E:$E,MATCH(K122,Materials!$A:$A,0)))</f>
        <v>203.5</v>
      </c>
      <c r="N122" s="23" t="n">
        <v>15</v>
      </c>
      <c r="O122" s="19"/>
      <c r="P122" s="21"/>
      <c r="Q122" s="22" t="n">
        <f aca="false">IF(O122="",0,P122*INDEX(Plant!$D:$D,MATCH(O122,Plant!$A:$A,0)))</f>
        <v>0</v>
      </c>
      <c r="R122" s="24" t="n">
        <f aca="false">F122+M122+N122+Q122</f>
        <v>268.33744</v>
      </c>
      <c r="S122" s="22" t="n">
        <f aca="false">R122*Settings!$B$4*Settings!$B$9</f>
        <v>268.33744</v>
      </c>
      <c r="T122" s="24" t="n">
        <f aca="false">S122*(1+Settings!$B$10)</f>
        <v>313.9548048</v>
      </c>
    </row>
    <row r="123" customFormat="false" ht="15" hidden="false" customHeight="false" outlineLevel="0" collapsed="false">
      <c r="A123" s="19" t="s">
        <v>383</v>
      </c>
      <c r="B123" s="20" t="s">
        <v>384</v>
      </c>
      <c r="C123" s="19" t="s">
        <v>108</v>
      </c>
      <c r="D123" s="19" t="s">
        <v>373</v>
      </c>
      <c r="E123" s="21" t="n">
        <v>0.3</v>
      </c>
      <c r="F123" s="22" t="n">
        <f aca="false">IF(D123="",0,E123*INDEX(Gangs!$D:$D,MATCH(D123,Gangs!$A:$A,0)))</f>
        <v>49.83744</v>
      </c>
      <c r="G123" s="19" t="s">
        <v>385</v>
      </c>
      <c r="H123" s="21" t="n">
        <v>1.1</v>
      </c>
      <c r="I123" s="19"/>
      <c r="J123" s="21"/>
      <c r="K123" s="19"/>
      <c r="L123" s="21"/>
      <c r="M123" s="22" t="n">
        <f aca="false">IF(G123="",0,H123*INDEX(Materials!$E:$E,MATCH(G123,Materials!$A:$A,0)))+IF(I123="",0,J123*INDEX(Materials!$E:$E,MATCH(I123,Materials!$A:$A,0)))+IF(K123="",0,L123*INDEX(Materials!$E:$E,MATCH(K123,Materials!$A:$A,0)))</f>
        <v>165</v>
      </c>
      <c r="N123" s="23" t="n">
        <v>15</v>
      </c>
      <c r="O123" s="19"/>
      <c r="P123" s="21"/>
      <c r="Q123" s="22" t="n">
        <f aca="false">IF(O123="",0,P123*INDEX(Plant!$D:$D,MATCH(O123,Plant!$A:$A,0)))</f>
        <v>0</v>
      </c>
      <c r="R123" s="24" t="n">
        <f aca="false">F123+M123+N123+Q123</f>
        <v>229.83744</v>
      </c>
      <c r="S123" s="22" t="n">
        <f aca="false">R123*Settings!$B$4*Settings!$B$9</f>
        <v>229.83744</v>
      </c>
      <c r="T123" s="24" t="n">
        <f aca="false">S123*(1+Settings!$B$10)</f>
        <v>268.9098048</v>
      </c>
    </row>
    <row r="124" customFormat="false" ht="15" hidden="false" customHeight="false" outlineLevel="0" collapsed="false">
      <c r="A124" s="19" t="s">
        <v>386</v>
      </c>
      <c r="B124" s="20" t="s">
        <v>387</v>
      </c>
      <c r="C124" s="19" t="s">
        <v>108</v>
      </c>
      <c r="D124" s="19" t="s">
        <v>373</v>
      </c>
      <c r="E124" s="21" t="n">
        <v>0.3</v>
      </c>
      <c r="F124" s="22" t="n">
        <f aca="false">IF(D124="",0,E124*INDEX(Gangs!$D:$D,MATCH(D124,Gangs!$A:$A,0)))</f>
        <v>49.83744</v>
      </c>
      <c r="G124" s="19" t="s">
        <v>388</v>
      </c>
      <c r="H124" s="21" t="n">
        <v>1.12</v>
      </c>
      <c r="I124" s="19"/>
      <c r="J124" s="21"/>
      <c r="K124" s="19"/>
      <c r="L124" s="21"/>
      <c r="M124" s="22" t="n">
        <f aca="false">IF(G124="",0,H124*INDEX(Materials!$E:$E,MATCH(G124,Materials!$A:$A,0)))+IF(I124="",0,J124*INDEX(Materials!$E:$E,MATCH(I124,Materials!$A:$A,0)))+IF(K124="",0,L124*INDEX(Materials!$E:$E,MATCH(K124,Materials!$A:$A,0)))</f>
        <v>162.4</v>
      </c>
      <c r="N124" s="23" t="n">
        <v>12</v>
      </c>
      <c r="O124" s="19"/>
      <c r="P124" s="21"/>
      <c r="Q124" s="22" t="n">
        <f aca="false">IF(O124="",0,P124*INDEX(Plant!$D:$D,MATCH(O124,Plant!$A:$A,0)))</f>
        <v>0</v>
      </c>
      <c r="R124" s="24" t="n">
        <f aca="false">F124+M124+N124+Q124</f>
        <v>224.23744</v>
      </c>
      <c r="S124" s="22" t="n">
        <f aca="false">R124*Settings!$B$4*Settings!$B$9</f>
        <v>224.23744</v>
      </c>
      <c r="T124" s="24" t="n">
        <f aca="false">S124*(1+Settings!$B$10)</f>
        <v>262.3578048</v>
      </c>
    </row>
    <row r="125" customFormat="false" ht="15" hidden="false" customHeight="false" outlineLevel="0" collapsed="false">
      <c r="A125" s="19" t="s">
        <v>389</v>
      </c>
      <c r="B125" s="20" t="s">
        <v>390</v>
      </c>
      <c r="C125" s="19" t="s">
        <v>108</v>
      </c>
      <c r="D125" s="19" t="s">
        <v>364</v>
      </c>
      <c r="E125" s="21" t="n">
        <v>0.12</v>
      </c>
      <c r="F125" s="22" t="n">
        <f aca="false">IF(D125="",0,E125*INDEX(Gangs!$D:$D,MATCH(D125,Gangs!$A:$A,0)))</f>
        <v>24.449952</v>
      </c>
      <c r="G125" s="19" t="s">
        <v>368</v>
      </c>
      <c r="H125" s="21" t="n">
        <v>0.9</v>
      </c>
      <c r="I125" s="19"/>
      <c r="J125" s="21"/>
      <c r="K125" s="19"/>
      <c r="L125" s="21"/>
      <c r="M125" s="22" t="n">
        <f aca="false">IF(G125="",0,H125*INDEX(Materials!$E:$E,MATCH(G125,Materials!$A:$A,0)))+IF(I125="",0,J125*INDEX(Materials!$E:$E,MATCH(I125,Materials!$A:$A,0)))+IF(K125="",0,L125*INDEX(Materials!$E:$E,MATCH(K125,Materials!$A:$A,0)))</f>
        <v>39.6</v>
      </c>
      <c r="N125" s="23" t="n">
        <v>4</v>
      </c>
      <c r="O125" s="19"/>
      <c r="P125" s="21"/>
      <c r="Q125" s="22" t="n">
        <f aca="false">IF(O125="",0,P125*INDEX(Plant!$D:$D,MATCH(O125,Plant!$A:$A,0)))</f>
        <v>0</v>
      </c>
      <c r="R125" s="24" t="n">
        <f aca="false">F125+M125+N125+Q125</f>
        <v>68.049952</v>
      </c>
      <c r="S125" s="22" t="n">
        <f aca="false">R125*Settings!$B$4*Settings!$B$9</f>
        <v>68.049952</v>
      </c>
      <c r="T125" s="24" t="n">
        <f aca="false">S125*(1+Settings!$B$10)</f>
        <v>79.61844384</v>
      </c>
    </row>
    <row r="126" customFormat="false" ht="15" hidden="false" customHeight="false" outlineLevel="0" collapsed="false">
      <c r="A126" s="19" t="s">
        <v>391</v>
      </c>
      <c r="B126" s="20" t="s">
        <v>392</v>
      </c>
      <c r="C126" s="19" t="s">
        <v>256</v>
      </c>
      <c r="D126" s="19" t="s">
        <v>393</v>
      </c>
      <c r="E126" s="21" t="n">
        <v>0.15</v>
      </c>
      <c r="F126" s="22" t="n">
        <f aca="false">IF(D126="",0,E126*INDEX(Gangs!$D:$D,MATCH(D126,Gangs!$A:$A,0)))</f>
        <v>40.9188975</v>
      </c>
      <c r="G126" s="19" t="s">
        <v>394</v>
      </c>
      <c r="H126" s="21" t="n">
        <v>1.05</v>
      </c>
      <c r="I126" s="19"/>
      <c r="J126" s="21"/>
      <c r="K126" s="19"/>
      <c r="L126" s="21"/>
      <c r="M126" s="22" t="n">
        <f aca="false">IF(G126="",0,H126*INDEX(Materials!$E:$E,MATCH(G126,Materials!$A:$A,0)))+IF(I126="",0,J126*INDEX(Materials!$E:$E,MATCH(I126,Materials!$A:$A,0)))+IF(K126="",0,L126*INDEX(Materials!$E:$E,MATCH(K126,Materials!$A:$A,0)))</f>
        <v>99.75</v>
      </c>
      <c r="N126" s="23" t="n">
        <v>6</v>
      </c>
      <c r="O126" s="19"/>
      <c r="P126" s="21"/>
      <c r="Q126" s="22" t="n">
        <f aca="false">IF(O126="",0,P126*INDEX(Plant!$D:$D,MATCH(O126,Plant!$A:$A,0)))</f>
        <v>0</v>
      </c>
      <c r="R126" s="24" t="n">
        <f aca="false">F126+M126+N126+Q126</f>
        <v>146.6688975</v>
      </c>
      <c r="S126" s="22" t="n">
        <f aca="false">R126*Settings!$B$4*Settings!$B$9</f>
        <v>146.6688975</v>
      </c>
      <c r="T126" s="24" t="n">
        <f aca="false">S126*(1+Settings!$B$10)</f>
        <v>171.602610075</v>
      </c>
    </row>
    <row r="127" customFormat="false" ht="15" hidden="false" customHeight="false" outlineLevel="0" collapsed="false">
      <c r="A127" s="19" t="s">
        <v>395</v>
      </c>
      <c r="B127" s="20" t="s">
        <v>396</v>
      </c>
      <c r="C127" s="19" t="s">
        <v>256</v>
      </c>
      <c r="D127" s="19" t="s">
        <v>373</v>
      </c>
      <c r="E127" s="21" t="n">
        <v>0.3</v>
      </c>
      <c r="F127" s="22" t="n">
        <f aca="false">IF(D127="",0,E127*INDEX(Gangs!$D:$D,MATCH(D127,Gangs!$A:$A,0)))</f>
        <v>49.83744</v>
      </c>
      <c r="G127" s="19" t="s">
        <v>397</v>
      </c>
      <c r="H127" s="21" t="n">
        <v>2.7</v>
      </c>
      <c r="I127" s="19" t="s">
        <v>156</v>
      </c>
      <c r="J127" s="21" t="n">
        <v>0.005</v>
      </c>
      <c r="K127" s="19"/>
      <c r="L127" s="21"/>
      <c r="M127" s="22" t="n">
        <f aca="false">IF(G127="",0,H127*INDEX(Materials!$E:$E,MATCH(G127,Materials!$A:$A,0)))+IF(I127="",0,J127*INDEX(Materials!$E:$E,MATCH(I127,Materials!$A:$A,0)))+IF(K127="",0,L127*INDEX(Materials!$E:$E,MATCH(K127,Materials!$A:$A,0)))</f>
        <v>75.94</v>
      </c>
      <c r="N127" s="23" t="n">
        <v>0</v>
      </c>
      <c r="O127" s="19"/>
      <c r="P127" s="21"/>
      <c r="Q127" s="22" t="n">
        <f aca="false">IF(O127="",0,P127*INDEX(Plant!$D:$D,MATCH(O127,Plant!$A:$A,0)))</f>
        <v>0</v>
      </c>
      <c r="R127" s="24" t="n">
        <f aca="false">F127+M127+N127+Q127</f>
        <v>125.77744</v>
      </c>
      <c r="S127" s="22" t="n">
        <f aca="false">R127*Settings!$B$4*Settings!$B$9</f>
        <v>125.77744</v>
      </c>
      <c r="T127" s="24" t="n">
        <f aca="false">S127*(1+Settings!$B$10)</f>
        <v>147.1596048</v>
      </c>
    </row>
    <row r="128" customFormat="false" ht="15" hidden="false" customHeight="false" outlineLevel="0" collapsed="false">
      <c r="A128" s="19" t="s">
        <v>398</v>
      </c>
      <c r="B128" s="20" t="s">
        <v>399</v>
      </c>
      <c r="C128" s="19" t="s">
        <v>256</v>
      </c>
      <c r="D128" s="19" t="s">
        <v>373</v>
      </c>
      <c r="E128" s="21" t="n">
        <v>0.15</v>
      </c>
      <c r="F128" s="22" t="n">
        <f aca="false">IF(D128="",0,E128*INDEX(Gangs!$D:$D,MATCH(D128,Gangs!$A:$A,0)))</f>
        <v>24.91872</v>
      </c>
      <c r="G128" s="19" t="s">
        <v>400</v>
      </c>
      <c r="H128" s="21" t="n">
        <v>1.1</v>
      </c>
      <c r="I128" s="19"/>
      <c r="J128" s="21"/>
      <c r="K128" s="19"/>
      <c r="L128" s="21"/>
      <c r="M128" s="22" t="n">
        <f aca="false">IF(G128="",0,H128*INDEX(Materials!$E:$E,MATCH(G128,Materials!$A:$A,0)))+IF(I128="",0,J128*INDEX(Materials!$E:$E,MATCH(I128,Materials!$A:$A,0)))+IF(K128="",0,L128*INDEX(Materials!$E:$E,MATCH(K128,Materials!$A:$A,0)))</f>
        <v>121</v>
      </c>
      <c r="N128" s="23" t="n">
        <v>0</v>
      </c>
      <c r="O128" s="19"/>
      <c r="P128" s="21"/>
      <c r="Q128" s="22" t="n">
        <f aca="false">IF(O128="",0,P128*INDEX(Plant!$D:$D,MATCH(O128,Plant!$A:$A,0)))</f>
        <v>0</v>
      </c>
      <c r="R128" s="24" t="n">
        <f aca="false">F128+M128+N128+Q128</f>
        <v>145.91872</v>
      </c>
      <c r="S128" s="22" t="n">
        <f aca="false">R128*Settings!$B$4*Settings!$B$9</f>
        <v>145.91872</v>
      </c>
      <c r="T128" s="24" t="n">
        <f aca="false">S128*(1+Settings!$B$10)</f>
        <v>170.7249024</v>
      </c>
    </row>
    <row r="129" customFormat="false" ht="15" hidden="false" customHeight="false" outlineLevel="0" collapsed="false">
      <c r="A129" s="19" t="s">
        <v>401</v>
      </c>
      <c r="B129" s="20" t="s">
        <v>402</v>
      </c>
      <c r="C129" s="19" t="s">
        <v>256</v>
      </c>
      <c r="D129" s="19" t="s">
        <v>373</v>
      </c>
      <c r="E129" s="21" t="n">
        <v>0.3</v>
      </c>
      <c r="F129" s="22" t="n">
        <f aca="false">IF(D129="",0,E129*INDEX(Gangs!$D:$D,MATCH(D129,Gangs!$A:$A,0)))</f>
        <v>49.83744</v>
      </c>
      <c r="G129" s="19" t="s">
        <v>403</v>
      </c>
      <c r="H129" s="21" t="n">
        <v>1.1</v>
      </c>
      <c r="I129" s="19"/>
      <c r="J129" s="21"/>
      <c r="K129" s="19"/>
      <c r="L129" s="21"/>
      <c r="M129" s="22" t="n">
        <f aca="false">IF(G129="",0,H129*INDEX(Materials!$E:$E,MATCH(G129,Materials!$A:$A,0)))+IF(I129="",0,J129*INDEX(Materials!$E:$E,MATCH(I129,Materials!$A:$A,0)))+IF(K129="",0,L129*INDEX(Materials!$E:$E,MATCH(K129,Materials!$A:$A,0)))</f>
        <v>154</v>
      </c>
      <c r="N129" s="23" t="n">
        <v>0</v>
      </c>
      <c r="O129" s="19"/>
      <c r="P129" s="21"/>
      <c r="Q129" s="22" t="n">
        <f aca="false">IF(O129="",0,P129*INDEX(Plant!$D:$D,MATCH(O129,Plant!$A:$A,0)))</f>
        <v>0</v>
      </c>
      <c r="R129" s="24" t="n">
        <f aca="false">F129+M129+N129+Q129</f>
        <v>203.83744</v>
      </c>
      <c r="S129" s="22" t="n">
        <f aca="false">R129*Settings!$B$4*Settings!$B$9</f>
        <v>203.83744</v>
      </c>
      <c r="T129" s="24" t="n">
        <f aca="false">S129*(1+Settings!$B$10)</f>
        <v>238.4898048</v>
      </c>
    </row>
    <row r="130" customFormat="false" ht="15" hidden="false" customHeight="false" outlineLevel="0" collapsed="false">
      <c r="A130" s="19" t="s">
        <v>404</v>
      </c>
      <c r="B130" s="20" t="s">
        <v>405</v>
      </c>
      <c r="C130" s="19" t="s">
        <v>256</v>
      </c>
      <c r="D130" s="19" t="s">
        <v>364</v>
      </c>
      <c r="E130" s="21" t="n">
        <v>0.2</v>
      </c>
      <c r="F130" s="22" t="n">
        <f aca="false">IF(D130="",0,E130*INDEX(Gangs!$D:$D,MATCH(D130,Gangs!$A:$A,0)))</f>
        <v>40.74992</v>
      </c>
      <c r="G130" s="19" t="s">
        <v>406</v>
      </c>
      <c r="H130" s="21" t="n">
        <v>1.1</v>
      </c>
      <c r="I130" s="19"/>
      <c r="J130" s="21"/>
      <c r="K130" s="19"/>
      <c r="L130" s="21"/>
      <c r="M130" s="22" t="n">
        <f aca="false">IF(G130="",0,H130*INDEX(Materials!$E:$E,MATCH(G130,Materials!$A:$A,0)))+IF(I130="",0,J130*INDEX(Materials!$E:$E,MATCH(I130,Materials!$A:$A,0)))+IF(K130="",0,L130*INDEX(Materials!$E:$E,MATCH(K130,Materials!$A:$A,0)))</f>
        <v>101.2</v>
      </c>
      <c r="N130" s="23" t="n">
        <v>4</v>
      </c>
      <c r="O130" s="19"/>
      <c r="P130" s="21"/>
      <c r="Q130" s="22" t="n">
        <f aca="false">IF(O130="",0,P130*INDEX(Plant!$D:$D,MATCH(O130,Plant!$A:$A,0)))</f>
        <v>0</v>
      </c>
      <c r="R130" s="24" t="n">
        <f aca="false">F130+M130+N130+Q130</f>
        <v>145.94992</v>
      </c>
      <c r="S130" s="22" t="n">
        <f aca="false">R130*Settings!$B$4*Settings!$B$9</f>
        <v>145.94992</v>
      </c>
      <c r="T130" s="24" t="n">
        <f aca="false">S130*(1+Settings!$B$10)</f>
        <v>170.7614064</v>
      </c>
    </row>
    <row r="131" customFormat="false" ht="15" hidden="false" customHeight="false" outlineLevel="0" collapsed="false">
      <c r="A131" s="19" t="s">
        <v>407</v>
      </c>
      <c r="B131" s="20" t="s">
        <v>408</v>
      </c>
      <c r="C131" s="19" t="s">
        <v>256</v>
      </c>
      <c r="D131" s="19" t="s">
        <v>364</v>
      </c>
      <c r="E131" s="21" t="n">
        <v>0.25</v>
      </c>
      <c r="F131" s="22" t="n">
        <f aca="false">IF(D131="",0,E131*INDEX(Gangs!$D:$D,MATCH(D131,Gangs!$A:$A,0)))</f>
        <v>50.9374</v>
      </c>
      <c r="G131" s="19" t="s">
        <v>406</v>
      </c>
      <c r="H131" s="21" t="n">
        <v>1.1</v>
      </c>
      <c r="I131" s="19"/>
      <c r="J131" s="21"/>
      <c r="K131" s="19"/>
      <c r="L131" s="21"/>
      <c r="M131" s="22" t="n">
        <f aca="false">IF(G131="",0,H131*INDEX(Materials!$E:$E,MATCH(G131,Materials!$A:$A,0)))+IF(I131="",0,J131*INDEX(Materials!$E:$E,MATCH(I131,Materials!$A:$A,0)))+IF(K131="",0,L131*INDEX(Materials!$E:$E,MATCH(K131,Materials!$A:$A,0)))</f>
        <v>101.2</v>
      </c>
      <c r="N131" s="23" t="n">
        <v>4</v>
      </c>
      <c r="O131" s="19"/>
      <c r="P131" s="21"/>
      <c r="Q131" s="22" t="n">
        <f aca="false">IF(O131="",0,P131*INDEX(Plant!$D:$D,MATCH(O131,Plant!$A:$A,0)))</f>
        <v>0</v>
      </c>
      <c r="R131" s="24" t="n">
        <f aca="false">F131+M131+N131+Q131</f>
        <v>156.1374</v>
      </c>
      <c r="S131" s="22" t="n">
        <f aca="false">R131*Settings!$B$4*Settings!$B$9</f>
        <v>156.1374</v>
      </c>
      <c r="T131" s="24" t="n">
        <f aca="false">S131*(1+Settings!$B$10)</f>
        <v>182.680758</v>
      </c>
    </row>
    <row r="132" customFormat="false" ht="15" hidden="false" customHeight="false" outlineLevel="0" collapsed="false">
      <c r="A132" s="19" t="s">
        <v>409</v>
      </c>
      <c r="B132" s="20" t="s">
        <v>410</v>
      </c>
      <c r="C132" s="19" t="s">
        <v>256</v>
      </c>
      <c r="D132" s="19"/>
      <c r="E132" s="21"/>
      <c r="F132" s="22" t="n">
        <f aca="false">IF(D132="",0,E132*INDEX(Gangs!$D:$D,MATCH(D132,Gangs!$A:$A,0)))</f>
        <v>0</v>
      </c>
      <c r="G132" s="19" t="s">
        <v>411</v>
      </c>
      <c r="H132" s="21" t="n">
        <v>1</v>
      </c>
      <c r="I132" s="19"/>
      <c r="J132" s="21"/>
      <c r="K132" s="19"/>
      <c r="L132" s="21"/>
      <c r="M132" s="22" t="n">
        <f aca="false">IF(G132="",0,H132*INDEX(Materials!$E:$E,MATCH(G132,Materials!$A:$A,0)))+IF(I132="",0,J132*INDEX(Materials!$E:$E,MATCH(I132,Materials!$A:$A,0)))+IF(K132="",0,L132*INDEX(Materials!$E:$E,MATCH(K132,Materials!$A:$A,0)))</f>
        <v>260</v>
      </c>
      <c r="N132" s="23" t="n">
        <v>0</v>
      </c>
      <c r="O132" s="19"/>
      <c r="P132" s="21"/>
      <c r="Q132" s="22" t="n">
        <f aca="false">IF(O132="",0,P132*INDEX(Plant!$D:$D,MATCH(O132,Plant!$A:$A,0)))</f>
        <v>0</v>
      </c>
      <c r="R132" s="24" t="n">
        <f aca="false">F132+M132+N132+Q132</f>
        <v>260</v>
      </c>
      <c r="S132" s="22" t="n">
        <f aca="false">R132*Settings!$B$4*Settings!$B$9</f>
        <v>260</v>
      </c>
      <c r="T132" s="24" t="n">
        <f aca="false">S132*(1+Settings!$B$10)</f>
        <v>304.2</v>
      </c>
    </row>
    <row r="133" customFormat="false" ht="15" hidden="false" customHeight="false" outlineLevel="0" collapsed="false">
      <c r="A133" s="19" t="s">
        <v>412</v>
      </c>
      <c r="B133" s="20" t="s">
        <v>413</v>
      </c>
      <c r="C133" s="19" t="s">
        <v>256</v>
      </c>
      <c r="D133" s="19" t="s">
        <v>373</v>
      </c>
      <c r="E133" s="21" t="n">
        <v>0.15</v>
      </c>
      <c r="F133" s="22" t="n">
        <f aca="false">IF(D133="",0,E133*INDEX(Gangs!$D:$D,MATCH(D133,Gangs!$A:$A,0)))</f>
        <v>24.91872</v>
      </c>
      <c r="G133" s="19" t="s">
        <v>414</v>
      </c>
      <c r="H133" s="21" t="n">
        <v>1.05</v>
      </c>
      <c r="I133" s="19"/>
      <c r="J133" s="21"/>
      <c r="K133" s="19"/>
      <c r="L133" s="21"/>
      <c r="M133" s="22" t="n">
        <f aca="false">IF(G133="",0,H133*INDEX(Materials!$E:$E,MATCH(G133,Materials!$A:$A,0)))+IF(I133="",0,J133*INDEX(Materials!$E:$E,MATCH(I133,Materials!$A:$A,0)))+IF(K133="",0,L133*INDEX(Materials!$E:$E,MATCH(K133,Materials!$A:$A,0)))</f>
        <v>89.25</v>
      </c>
      <c r="N133" s="23" t="n">
        <v>10</v>
      </c>
      <c r="O133" s="19"/>
      <c r="P133" s="21"/>
      <c r="Q133" s="22" t="n">
        <f aca="false">IF(O133="",0,P133*INDEX(Plant!$D:$D,MATCH(O133,Plant!$A:$A,0)))</f>
        <v>0</v>
      </c>
      <c r="R133" s="24" t="n">
        <f aca="false">F133+M133+N133+Q133</f>
        <v>124.16872</v>
      </c>
      <c r="S133" s="22" t="n">
        <f aca="false">R133*Settings!$B$4*Settings!$B$9</f>
        <v>124.16872</v>
      </c>
      <c r="T133" s="24" t="n">
        <f aca="false">S133*(1+Settings!$B$10)</f>
        <v>145.2774024</v>
      </c>
    </row>
    <row r="134" customFormat="false" ht="15" hidden="false" customHeight="false" outlineLevel="0" collapsed="false">
      <c r="A134" s="19" t="s">
        <v>415</v>
      </c>
      <c r="B134" s="20" t="s">
        <v>416</v>
      </c>
      <c r="C134" s="19" t="s">
        <v>108</v>
      </c>
      <c r="D134" s="19" t="s">
        <v>75</v>
      </c>
      <c r="E134" s="21" t="n">
        <v>0.05</v>
      </c>
      <c r="F134" s="22" t="n">
        <f aca="false">IF(D134="",0,E134*INDEX(Gangs!$D:$D,MATCH(D134,Gangs!$A:$A,0)))</f>
        <v>2.6554525</v>
      </c>
      <c r="G134" s="19" t="s">
        <v>417</v>
      </c>
      <c r="H134" s="21" t="n">
        <v>1.05</v>
      </c>
      <c r="I134" s="19"/>
      <c r="J134" s="21"/>
      <c r="K134" s="19"/>
      <c r="L134" s="21"/>
      <c r="M134" s="22" t="n">
        <f aca="false">IF(G134="",0,H134*INDEX(Materials!$E:$E,MATCH(G134,Materials!$A:$A,0)))+IF(I134="",0,J134*INDEX(Materials!$E:$E,MATCH(I134,Materials!$A:$A,0)))+IF(K134="",0,L134*INDEX(Materials!$E:$E,MATCH(K134,Materials!$A:$A,0)))</f>
        <v>96.6</v>
      </c>
      <c r="N134" s="23" t="n">
        <v>0</v>
      </c>
      <c r="O134" s="19"/>
      <c r="P134" s="21"/>
      <c r="Q134" s="22" t="n">
        <f aca="false">IF(O134="",0,P134*INDEX(Plant!$D:$D,MATCH(O134,Plant!$A:$A,0)))</f>
        <v>0</v>
      </c>
      <c r="R134" s="24" t="n">
        <f aca="false">F134+M134+N134+Q134</f>
        <v>99.2554525</v>
      </c>
      <c r="S134" s="22" t="n">
        <f aca="false">R134*Settings!$B$4*Settings!$B$9</f>
        <v>99.2554525</v>
      </c>
      <c r="T134" s="24" t="n">
        <f aca="false">S134*(1+Settings!$B$10)</f>
        <v>116.128879425</v>
      </c>
    </row>
    <row r="135" customFormat="false" ht="15" hidden="false" customHeight="false" outlineLevel="0" collapsed="false">
      <c r="A135" s="19" t="s">
        <v>418</v>
      </c>
      <c r="B135" s="20" t="s">
        <v>419</v>
      </c>
      <c r="C135" s="19" t="s">
        <v>108</v>
      </c>
      <c r="D135" s="19" t="s">
        <v>75</v>
      </c>
      <c r="E135" s="21" t="n">
        <v>0.05</v>
      </c>
      <c r="F135" s="22" t="n">
        <f aca="false">IF(D135="",0,E135*INDEX(Gangs!$D:$D,MATCH(D135,Gangs!$A:$A,0)))</f>
        <v>2.6554525</v>
      </c>
      <c r="G135" s="19" t="s">
        <v>420</v>
      </c>
      <c r="H135" s="21" t="n">
        <v>1.05</v>
      </c>
      <c r="I135" s="19"/>
      <c r="J135" s="21"/>
      <c r="K135" s="19"/>
      <c r="L135" s="21"/>
      <c r="M135" s="22" t="n">
        <f aca="false">IF(G135="",0,H135*INDEX(Materials!$E:$E,MATCH(G135,Materials!$A:$A,0)))+IF(I135="",0,J135*INDEX(Materials!$E:$E,MATCH(I135,Materials!$A:$A,0)))+IF(K135="",0,L135*INDEX(Materials!$E:$E,MATCH(K135,Materials!$A:$A,0)))</f>
        <v>71.4</v>
      </c>
      <c r="N135" s="23" t="n">
        <v>0</v>
      </c>
      <c r="O135" s="19"/>
      <c r="P135" s="21"/>
      <c r="Q135" s="22" t="n">
        <f aca="false">IF(O135="",0,P135*INDEX(Plant!$D:$D,MATCH(O135,Plant!$A:$A,0)))</f>
        <v>0</v>
      </c>
      <c r="R135" s="24" t="n">
        <f aca="false">F135+M135+N135+Q135</f>
        <v>74.0554525</v>
      </c>
      <c r="S135" s="22" t="n">
        <f aca="false">R135*Settings!$B$4*Settings!$B$9</f>
        <v>74.0554525</v>
      </c>
      <c r="T135" s="24" t="n">
        <f aca="false">S135*(1+Settings!$B$10)</f>
        <v>86.644879425</v>
      </c>
    </row>
    <row r="136" customFormat="false" ht="15" hidden="false" customHeight="false" outlineLevel="0" collapsed="false">
      <c r="A136" s="19" t="s">
        <v>421</v>
      </c>
      <c r="B136" s="20" t="s">
        <v>422</v>
      </c>
      <c r="C136" s="19" t="s">
        <v>108</v>
      </c>
      <c r="D136" s="19" t="s">
        <v>373</v>
      </c>
      <c r="E136" s="21" t="n">
        <v>0.05</v>
      </c>
      <c r="F136" s="22" t="n">
        <f aca="false">IF(D136="",0,E136*INDEX(Gangs!$D:$D,MATCH(D136,Gangs!$A:$A,0)))</f>
        <v>8.30624</v>
      </c>
      <c r="G136" s="19" t="s">
        <v>423</v>
      </c>
      <c r="H136" s="21" t="n">
        <v>1.1</v>
      </c>
      <c r="I136" s="19"/>
      <c r="J136" s="21"/>
      <c r="K136" s="19"/>
      <c r="L136" s="21"/>
      <c r="M136" s="22" t="n">
        <f aca="false">IF(G136="",0,H136*INDEX(Materials!$E:$E,MATCH(G136,Materials!$A:$A,0)))+IF(I136="",0,J136*INDEX(Materials!$E:$E,MATCH(I136,Materials!$A:$A,0)))+IF(K136="",0,L136*INDEX(Materials!$E:$E,MATCH(K136,Materials!$A:$A,0)))</f>
        <v>24.2</v>
      </c>
      <c r="N136" s="23" t="n">
        <v>0</v>
      </c>
      <c r="O136" s="19"/>
      <c r="P136" s="21"/>
      <c r="Q136" s="22" t="n">
        <f aca="false">IF(O136="",0,P136*INDEX(Plant!$D:$D,MATCH(O136,Plant!$A:$A,0)))</f>
        <v>0</v>
      </c>
      <c r="R136" s="24" t="n">
        <f aca="false">F136+M136+N136+Q136</f>
        <v>32.50624</v>
      </c>
      <c r="S136" s="22" t="n">
        <f aca="false">R136*Settings!$B$4*Settings!$B$9</f>
        <v>32.50624</v>
      </c>
      <c r="T136" s="24" t="n">
        <f aca="false">S136*(1+Settings!$B$10)</f>
        <v>38.0323008</v>
      </c>
    </row>
    <row r="137" customFormat="false" ht="15" hidden="false" customHeight="false" outlineLevel="0" collapsed="false">
      <c r="A137" s="19" t="s">
        <v>424</v>
      </c>
      <c r="B137" s="20" t="s">
        <v>425</v>
      </c>
      <c r="C137" s="19" t="s">
        <v>108</v>
      </c>
      <c r="D137" s="19"/>
      <c r="E137" s="21"/>
      <c r="F137" s="22" t="n">
        <f aca="false">IF(D137="",0,E137*INDEX(Gangs!$D:$D,MATCH(D137,Gangs!$A:$A,0)))</f>
        <v>0</v>
      </c>
      <c r="G137" s="19" t="s">
        <v>426</v>
      </c>
      <c r="H137" s="21" t="n">
        <v>1</v>
      </c>
      <c r="I137" s="19"/>
      <c r="J137" s="21"/>
      <c r="K137" s="19"/>
      <c r="L137" s="21"/>
      <c r="M137" s="22" t="n">
        <f aca="false">IF(G137="",0,H137*INDEX(Materials!$E:$E,MATCH(G137,Materials!$A:$A,0)))+IF(I137="",0,J137*INDEX(Materials!$E:$E,MATCH(I137,Materials!$A:$A,0)))+IF(K137="",0,L137*INDEX(Materials!$E:$E,MATCH(K137,Materials!$A:$A,0)))</f>
        <v>950</v>
      </c>
      <c r="N137" s="23" t="n">
        <v>0</v>
      </c>
      <c r="O137" s="19"/>
      <c r="P137" s="21"/>
      <c r="Q137" s="22" t="n">
        <f aca="false">IF(O137="",0,P137*INDEX(Plant!$D:$D,MATCH(O137,Plant!$A:$A,0)))</f>
        <v>0</v>
      </c>
      <c r="R137" s="24" t="n">
        <f aca="false">F137+M137+N137+Q137</f>
        <v>950</v>
      </c>
      <c r="S137" s="22" t="n">
        <f aca="false">R137*Settings!$B$4*Settings!$B$9</f>
        <v>950</v>
      </c>
      <c r="T137" s="24" t="n">
        <f aca="false">S137*(1+Settings!$B$10)</f>
        <v>1111.5</v>
      </c>
    </row>
    <row r="138" customFormat="false" ht="15" hidden="false" customHeight="false" outlineLevel="0" collapsed="false">
      <c r="A138" s="19" t="s">
        <v>427</v>
      </c>
      <c r="B138" s="20" t="s">
        <v>428</v>
      </c>
      <c r="C138" s="19" t="s">
        <v>108</v>
      </c>
      <c r="D138" s="19" t="s">
        <v>373</v>
      </c>
      <c r="E138" s="21" t="n">
        <v>0.35</v>
      </c>
      <c r="F138" s="22" t="n">
        <f aca="false">IF(D138="",0,E138*INDEX(Gangs!$D:$D,MATCH(D138,Gangs!$A:$A,0)))</f>
        <v>58.14368</v>
      </c>
      <c r="G138" s="19" t="s">
        <v>429</v>
      </c>
      <c r="H138" s="21" t="n">
        <v>1.1</v>
      </c>
      <c r="I138" s="19"/>
      <c r="J138" s="21"/>
      <c r="K138" s="19"/>
      <c r="L138" s="21"/>
      <c r="M138" s="22" t="n">
        <f aca="false">IF(G138="",0,H138*INDEX(Materials!$E:$E,MATCH(G138,Materials!$A:$A,0)))+IF(I138="",0,J138*INDEX(Materials!$E:$E,MATCH(I138,Materials!$A:$A,0)))+IF(K138="",0,L138*INDEX(Materials!$E:$E,MATCH(K138,Materials!$A:$A,0)))</f>
        <v>528</v>
      </c>
      <c r="N138" s="23" t="n">
        <v>20</v>
      </c>
      <c r="O138" s="19"/>
      <c r="P138" s="21"/>
      <c r="Q138" s="22" t="n">
        <f aca="false">IF(O138="",0,P138*INDEX(Plant!$D:$D,MATCH(O138,Plant!$A:$A,0)))</f>
        <v>0</v>
      </c>
      <c r="R138" s="24" t="n">
        <f aca="false">F138+M138+N138+Q138</f>
        <v>606.14368</v>
      </c>
      <c r="S138" s="22" t="n">
        <f aca="false">R138*Settings!$B$4*Settings!$B$9</f>
        <v>606.14368</v>
      </c>
      <c r="T138" s="24" t="n">
        <f aca="false">S138*(1+Settings!$B$10)</f>
        <v>709.1881056</v>
      </c>
    </row>
    <row r="139" customFormat="false" ht="15" hidden="false" customHeight="false" outlineLevel="0" collapsed="false">
      <c r="A139" s="17" t="s">
        <v>430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 customFormat="false" ht="15" hidden="false" customHeight="false" outlineLevel="0" collapsed="false">
      <c r="A140" s="19" t="s">
        <v>431</v>
      </c>
      <c r="B140" s="20" t="s">
        <v>432</v>
      </c>
      <c r="C140" s="19" t="s">
        <v>96</v>
      </c>
      <c r="D140" s="19" t="s">
        <v>433</v>
      </c>
      <c r="E140" s="21" t="n">
        <v>1.5</v>
      </c>
      <c r="F140" s="22" t="n">
        <f aca="false">IF(D140="",0,E140*INDEX(Gangs!$D:$D,MATCH(D140,Gangs!$A:$A,0)))</f>
        <v>225.960825</v>
      </c>
      <c r="G140" s="19" t="s">
        <v>434</v>
      </c>
      <c r="H140" s="21" t="n">
        <v>1</v>
      </c>
      <c r="I140" s="19" t="s">
        <v>435</v>
      </c>
      <c r="J140" s="21" t="n">
        <v>1.5</v>
      </c>
      <c r="K140" s="19"/>
      <c r="L140" s="21"/>
      <c r="M140" s="22" t="n">
        <f aca="false">IF(G140="",0,H140*INDEX(Materials!$E:$E,MATCH(G140,Materials!$A:$A,0)))+IF(I140="",0,J140*INDEX(Materials!$E:$E,MATCH(I140,Materials!$A:$A,0)))+IF(K140="",0,L140*INDEX(Materials!$E:$E,MATCH(K140,Materials!$A:$A,0)))</f>
        <v>732.5</v>
      </c>
      <c r="N140" s="23" t="n">
        <v>0</v>
      </c>
      <c r="O140" s="19"/>
      <c r="P140" s="21"/>
      <c r="Q140" s="22" t="n">
        <f aca="false">IF(O140="",0,P140*INDEX(Plant!$D:$D,MATCH(O140,Plant!$A:$A,0)))</f>
        <v>0</v>
      </c>
      <c r="R140" s="24" t="n">
        <f aca="false">F140+M140+N140+Q140</f>
        <v>958.460825</v>
      </c>
      <c r="S140" s="22" t="n">
        <f aca="false">R140*Settings!$B$4*Settings!$B$9</f>
        <v>958.460825</v>
      </c>
      <c r="T140" s="24" t="n">
        <f aca="false">S140*(1+Settings!$B$10)</f>
        <v>1121.39916525</v>
      </c>
    </row>
    <row r="141" customFormat="false" ht="15" hidden="false" customHeight="false" outlineLevel="0" collapsed="false">
      <c r="A141" s="19" t="s">
        <v>436</v>
      </c>
      <c r="B141" s="20" t="s">
        <v>437</v>
      </c>
      <c r="C141" s="19" t="s">
        <v>96</v>
      </c>
      <c r="D141" s="19" t="s">
        <v>433</v>
      </c>
      <c r="E141" s="21" t="n">
        <v>1.6</v>
      </c>
      <c r="F141" s="22" t="n">
        <f aca="false">IF(D141="",0,E141*INDEX(Gangs!$D:$D,MATCH(D141,Gangs!$A:$A,0)))</f>
        <v>241.02488</v>
      </c>
      <c r="G141" s="19" t="s">
        <v>438</v>
      </c>
      <c r="H141" s="21" t="n">
        <v>1</v>
      </c>
      <c r="I141" s="19" t="s">
        <v>435</v>
      </c>
      <c r="J141" s="21" t="n">
        <v>1.5</v>
      </c>
      <c r="K141" s="19"/>
      <c r="L141" s="21"/>
      <c r="M141" s="22" t="n">
        <f aca="false">IF(G141="",0,H141*INDEX(Materials!$E:$E,MATCH(G141,Materials!$A:$A,0)))+IF(I141="",0,J141*INDEX(Materials!$E:$E,MATCH(I141,Materials!$A:$A,0)))+IF(K141="",0,L141*INDEX(Materials!$E:$E,MATCH(K141,Materials!$A:$A,0)))</f>
        <v>1562.5</v>
      </c>
      <c r="N141" s="23" t="n">
        <v>0</v>
      </c>
      <c r="O141" s="19"/>
      <c r="P141" s="21"/>
      <c r="Q141" s="22" t="n">
        <f aca="false">IF(O141="",0,P141*INDEX(Plant!$D:$D,MATCH(O141,Plant!$A:$A,0)))</f>
        <v>0</v>
      </c>
      <c r="R141" s="24" t="n">
        <f aca="false">F141+M141+N141+Q141</f>
        <v>1803.52488</v>
      </c>
      <c r="S141" s="22" t="n">
        <f aca="false">R141*Settings!$B$4*Settings!$B$9</f>
        <v>1803.52488</v>
      </c>
      <c r="T141" s="24" t="n">
        <f aca="false">S141*(1+Settings!$B$10)</f>
        <v>2110.1241096</v>
      </c>
    </row>
    <row r="142" customFormat="false" ht="15" hidden="false" customHeight="false" outlineLevel="0" collapsed="false">
      <c r="A142" s="19" t="s">
        <v>439</v>
      </c>
      <c r="B142" s="20" t="s">
        <v>440</v>
      </c>
      <c r="C142" s="19" t="s">
        <v>96</v>
      </c>
      <c r="D142" s="19" t="s">
        <v>433</v>
      </c>
      <c r="E142" s="21" t="n">
        <v>2.5</v>
      </c>
      <c r="F142" s="22" t="n">
        <f aca="false">IF(D142="",0,E142*INDEX(Gangs!$D:$D,MATCH(D142,Gangs!$A:$A,0)))</f>
        <v>376.601375</v>
      </c>
      <c r="G142" s="19" t="s">
        <v>441</v>
      </c>
      <c r="H142" s="21" t="n">
        <v>1</v>
      </c>
      <c r="I142" s="19" t="s">
        <v>435</v>
      </c>
      <c r="J142" s="21" t="n">
        <v>1.5</v>
      </c>
      <c r="K142" s="19"/>
      <c r="L142" s="21"/>
      <c r="M142" s="22" t="n">
        <f aca="false">IF(G142="",0,H142*INDEX(Materials!$E:$E,MATCH(G142,Materials!$A:$A,0)))+IF(I142="",0,J142*INDEX(Materials!$E:$E,MATCH(I142,Materials!$A:$A,0)))+IF(K142="",0,L142*INDEX(Materials!$E:$E,MATCH(K142,Materials!$A:$A,0)))</f>
        <v>3712.5</v>
      </c>
      <c r="N142" s="23" t="n">
        <v>0</v>
      </c>
      <c r="O142" s="19"/>
      <c r="P142" s="21"/>
      <c r="Q142" s="22" t="n">
        <f aca="false">IF(O142="",0,P142*INDEX(Plant!$D:$D,MATCH(O142,Plant!$A:$A,0)))</f>
        <v>0</v>
      </c>
      <c r="R142" s="24" t="n">
        <f aca="false">F142+M142+N142+Q142</f>
        <v>4089.101375</v>
      </c>
      <c r="S142" s="22" t="n">
        <f aca="false">R142*Settings!$B$4*Settings!$B$9</f>
        <v>4089.101375</v>
      </c>
      <c r="T142" s="24" t="n">
        <f aca="false">S142*(1+Settings!$B$10)</f>
        <v>4784.24860875</v>
      </c>
    </row>
    <row r="143" customFormat="false" ht="15" hidden="false" customHeight="false" outlineLevel="0" collapsed="false">
      <c r="A143" s="19" t="s">
        <v>442</v>
      </c>
      <c r="B143" s="20" t="s">
        <v>443</v>
      </c>
      <c r="C143" s="19" t="s">
        <v>96</v>
      </c>
      <c r="D143" s="19" t="s">
        <v>154</v>
      </c>
      <c r="E143" s="21" t="n">
        <v>0.6</v>
      </c>
      <c r="F143" s="22" t="n">
        <f aca="false">IF(D143="",0,E143*INDEX(Gangs!$D:$D,MATCH(D143,Gangs!$A:$A,0)))</f>
        <v>99.67488</v>
      </c>
      <c r="G143" s="19" t="s">
        <v>444</v>
      </c>
      <c r="H143" s="21" t="n">
        <v>1</v>
      </c>
      <c r="I143" s="19" t="s">
        <v>156</v>
      </c>
      <c r="J143" s="21" t="n">
        <v>0.005</v>
      </c>
      <c r="K143" s="19"/>
      <c r="L143" s="21"/>
      <c r="M143" s="22" t="n">
        <f aca="false">IF(G143="",0,H143*INDEX(Materials!$E:$E,MATCH(G143,Materials!$A:$A,0)))+IF(I143="",0,J143*INDEX(Materials!$E:$E,MATCH(I143,Materials!$A:$A,0)))+IF(K143="",0,L143*INDEX(Materials!$E:$E,MATCH(K143,Materials!$A:$A,0)))</f>
        <v>685.74</v>
      </c>
      <c r="N143" s="23" t="n">
        <v>0</v>
      </c>
      <c r="O143" s="19"/>
      <c r="P143" s="21"/>
      <c r="Q143" s="22" t="n">
        <f aca="false">IF(O143="",0,P143*INDEX(Plant!$D:$D,MATCH(O143,Plant!$A:$A,0)))</f>
        <v>0</v>
      </c>
      <c r="R143" s="24" t="n">
        <f aca="false">F143+M143+N143+Q143</f>
        <v>785.41488</v>
      </c>
      <c r="S143" s="22" t="n">
        <f aca="false">R143*Settings!$B$4*Settings!$B$9</f>
        <v>785.41488</v>
      </c>
      <c r="T143" s="24" t="n">
        <f aca="false">S143*(1+Settings!$B$10)</f>
        <v>918.9354096</v>
      </c>
    </row>
    <row r="144" customFormat="false" ht="15" hidden="false" customHeight="false" outlineLevel="0" collapsed="false">
      <c r="A144" s="19" t="s">
        <v>445</v>
      </c>
      <c r="B144" s="20" t="s">
        <v>446</v>
      </c>
      <c r="C144" s="19" t="s">
        <v>96</v>
      </c>
      <c r="D144" s="19" t="s">
        <v>154</v>
      </c>
      <c r="E144" s="21" t="n">
        <v>1</v>
      </c>
      <c r="F144" s="22" t="n">
        <f aca="false">IF(D144="",0,E144*INDEX(Gangs!$D:$D,MATCH(D144,Gangs!$A:$A,0)))</f>
        <v>166.1248</v>
      </c>
      <c r="G144" s="19" t="s">
        <v>447</v>
      </c>
      <c r="H144" s="21" t="n">
        <v>1</v>
      </c>
      <c r="I144" s="19" t="s">
        <v>156</v>
      </c>
      <c r="J144" s="21" t="n">
        <v>0.005</v>
      </c>
      <c r="K144" s="19"/>
      <c r="L144" s="21"/>
      <c r="M144" s="22" t="n">
        <f aca="false">IF(G144="",0,H144*INDEX(Materials!$E:$E,MATCH(G144,Materials!$A:$A,0)))+IF(I144="",0,J144*INDEX(Materials!$E:$E,MATCH(I144,Materials!$A:$A,0)))+IF(K144="",0,L144*INDEX(Materials!$E:$E,MATCH(K144,Materials!$A:$A,0)))</f>
        <v>1655.74</v>
      </c>
      <c r="N144" s="23" t="n">
        <v>0</v>
      </c>
      <c r="O144" s="19"/>
      <c r="P144" s="21"/>
      <c r="Q144" s="22" t="n">
        <f aca="false">IF(O144="",0,P144*INDEX(Plant!$D:$D,MATCH(O144,Plant!$A:$A,0)))</f>
        <v>0</v>
      </c>
      <c r="R144" s="24" t="n">
        <f aca="false">F144+M144+N144+Q144</f>
        <v>1821.8648</v>
      </c>
      <c r="S144" s="22" t="n">
        <f aca="false">R144*Settings!$B$4*Settings!$B$9</f>
        <v>1821.8648</v>
      </c>
      <c r="T144" s="24" t="n">
        <f aca="false">S144*(1+Settings!$B$10)</f>
        <v>2131.581816</v>
      </c>
    </row>
    <row r="145" customFormat="false" ht="15" hidden="false" customHeight="false" outlineLevel="0" collapsed="false">
      <c r="A145" s="19" t="s">
        <v>448</v>
      </c>
      <c r="B145" s="20" t="s">
        <v>449</v>
      </c>
      <c r="C145" s="19" t="s">
        <v>96</v>
      </c>
      <c r="D145" s="19" t="s">
        <v>433</v>
      </c>
      <c r="E145" s="21" t="n">
        <v>0.6</v>
      </c>
      <c r="F145" s="22" t="n">
        <f aca="false">IF(D145="",0,E145*INDEX(Gangs!$D:$D,MATCH(D145,Gangs!$A:$A,0)))</f>
        <v>90.38433</v>
      </c>
      <c r="G145" s="19" t="s">
        <v>450</v>
      </c>
      <c r="H145" s="21" t="n">
        <v>1</v>
      </c>
      <c r="I145" s="19"/>
      <c r="J145" s="21"/>
      <c r="K145" s="19"/>
      <c r="L145" s="21"/>
      <c r="M145" s="22" t="n">
        <f aca="false">IF(G145="",0,H145*INDEX(Materials!$E:$E,MATCH(G145,Materials!$A:$A,0)))+IF(I145="",0,J145*INDEX(Materials!$E:$E,MATCH(I145,Materials!$A:$A,0)))+IF(K145="",0,L145*INDEX(Materials!$E:$E,MATCH(K145,Materials!$A:$A,0)))</f>
        <v>320</v>
      </c>
      <c r="N145" s="23" t="n">
        <v>0</v>
      </c>
      <c r="O145" s="19"/>
      <c r="P145" s="21"/>
      <c r="Q145" s="22" t="n">
        <f aca="false">IF(O145="",0,P145*INDEX(Plant!$D:$D,MATCH(O145,Plant!$A:$A,0)))</f>
        <v>0</v>
      </c>
      <c r="R145" s="24" t="n">
        <f aca="false">F145+M145+N145+Q145</f>
        <v>410.38433</v>
      </c>
      <c r="S145" s="22" t="n">
        <f aca="false">R145*Settings!$B$4*Settings!$B$9</f>
        <v>410.38433</v>
      </c>
      <c r="T145" s="24" t="n">
        <f aca="false">S145*(1+Settings!$B$10)</f>
        <v>480.1496661</v>
      </c>
    </row>
    <row r="146" customFormat="false" ht="15" hidden="false" customHeight="false" outlineLevel="0" collapsed="false">
      <c r="A146" s="19" t="s">
        <v>451</v>
      </c>
      <c r="B146" s="20" t="s">
        <v>452</v>
      </c>
      <c r="C146" s="19" t="s">
        <v>96</v>
      </c>
      <c r="D146" s="19" t="s">
        <v>433</v>
      </c>
      <c r="E146" s="21" t="n">
        <v>0.5</v>
      </c>
      <c r="F146" s="22" t="n">
        <f aca="false">IF(D146="",0,E146*INDEX(Gangs!$D:$D,MATCH(D146,Gangs!$A:$A,0)))</f>
        <v>75.320275</v>
      </c>
      <c r="G146" s="19" t="s">
        <v>453</v>
      </c>
      <c r="H146" s="21" t="n">
        <v>1</v>
      </c>
      <c r="I146" s="19"/>
      <c r="J146" s="21"/>
      <c r="K146" s="19"/>
      <c r="L146" s="21"/>
      <c r="M146" s="22" t="n">
        <f aca="false">IF(G146="",0,H146*INDEX(Materials!$E:$E,MATCH(G146,Materials!$A:$A,0)))+IF(I146="",0,J146*INDEX(Materials!$E:$E,MATCH(I146,Materials!$A:$A,0)))+IF(K146="",0,L146*INDEX(Materials!$E:$E,MATCH(K146,Materials!$A:$A,0)))</f>
        <v>190</v>
      </c>
      <c r="N146" s="23" t="n">
        <v>0</v>
      </c>
      <c r="O146" s="19"/>
      <c r="P146" s="21"/>
      <c r="Q146" s="22" t="n">
        <f aca="false">IF(O146="",0,P146*INDEX(Plant!$D:$D,MATCH(O146,Plant!$A:$A,0)))</f>
        <v>0</v>
      </c>
      <c r="R146" s="24" t="n">
        <f aca="false">F146+M146+N146+Q146</f>
        <v>265.320275</v>
      </c>
      <c r="S146" s="22" t="n">
        <f aca="false">R146*Settings!$B$4*Settings!$B$9</f>
        <v>265.320275</v>
      </c>
      <c r="T146" s="24" t="n">
        <f aca="false">S146*(1+Settings!$B$10)</f>
        <v>310.42472175</v>
      </c>
    </row>
    <row r="147" customFormat="false" ht="15" hidden="false" customHeight="false" outlineLevel="0" collapsed="false">
      <c r="A147" s="19" t="s">
        <v>454</v>
      </c>
      <c r="B147" s="20" t="s">
        <v>455</v>
      </c>
      <c r="C147" s="19" t="s">
        <v>96</v>
      </c>
      <c r="D147" s="19" t="s">
        <v>433</v>
      </c>
      <c r="E147" s="21" t="n">
        <v>0.7</v>
      </c>
      <c r="F147" s="22" t="n">
        <f aca="false">IF(D147="",0,E147*INDEX(Gangs!$D:$D,MATCH(D147,Gangs!$A:$A,0)))</f>
        <v>105.448385</v>
      </c>
      <c r="G147" s="19" t="s">
        <v>456</v>
      </c>
      <c r="H147" s="21" t="n">
        <v>1</v>
      </c>
      <c r="I147" s="19"/>
      <c r="J147" s="21"/>
      <c r="K147" s="19"/>
      <c r="L147" s="21"/>
      <c r="M147" s="22" t="n">
        <f aca="false">IF(G147="",0,H147*INDEX(Materials!$E:$E,MATCH(G147,Materials!$A:$A,0)))+IF(I147="",0,J147*INDEX(Materials!$E:$E,MATCH(I147,Materials!$A:$A,0)))+IF(K147="",0,L147*INDEX(Materials!$E:$E,MATCH(K147,Materials!$A:$A,0)))</f>
        <v>650</v>
      </c>
      <c r="N147" s="23" t="n">
        <v>0</v>
      </c>
      <c r="O147" s="19"/>
      <c r="P147" s="21"/>
      <c r="Q147" s="22" t="n">
        <f aca="false">IF(O147="",0,P147*INDEX(Plant!$D:$D,MATCH(O147,Plant!$A:$A,0)))</f>
        <v>0</v>
      </c>
      <c r="R147" s="24" t="n">
        <f aca="false">F147+M147+N147+Q147</f>
        <v>755.448385</v>
      </c>
      <c r="S147" s="22" t="n">
        <f aca="false">R147*Settings!$B$4*Settings!$B$9</f>
        <v>755.448385</v>
      </c>
      <c r="T147" s="24" t="n">
        <f aca="false">S147*(1+Settings!$B$10)</f>
        <v>883.87461045</v>
      </c>
    </row>
    <row r="148" customFormat="false" ht="15" hidden="false" customHeight="false" outlineLevel="0" collapsed="false">
      <c r="A148" s="19" t="s">
        <v>457</v>
      </c>
      <c r="B148" s="20" t="s">
        <v>458</v>
      </c>
      <c r="C148" s="19" t="s">
        <v>96</v>
      </c>
      <c r="D148" s="19" t="s">
        <v>433</v>
      </c>
      <c r="E148" s="21" t="n">
        <v>0.15</v>
      </c>
      <c r="F148" s="22" t="n">
        <f aca="false">IF(D148="",0,E148*INDEX(Gangs!$D:$D,MATCH(D148,Gangs!$A:$A,0)))</f>
        <v>22.5960825</v>
      </c>
      <c r="G148" s="19" t="s">
        <v>459</v>
      </c>
      <c r="H148" s="21" t="n">
        <v>1</v>
      </c>
      <c r="I148" s="19"/>
      <c r="J148" s="21"/>
      <c r="K148" s="19"/>
      <c r="L148" s="21"/>
      <c r="M148" s="22" t="n">
        <f aca="false">IF(G148="",0,H148*INDEX(Materials!$E:$E,MATCH(G148,Materials!$A:$A,0)))+IF(I148="",0,J148*INDEX(Materials!$E:$E,MATCH(I148,Materials!$A:$A,0)))+IF(K148="",0,L148*INDEX(Materials!$E:$E,MATCH(K148,Materials!$A:$A,0)))</f>
        <v>45</v>
      </c>
      <c r="N148" s="23" t="n">
        <v>0</v>
      </c>
      <c r="O148" s="19"/>
      <c r="P148" s="21"/>
      <c r="Q148" s="22" t="n">
        <f aca="false">IF(O148="",0,P148*INDEX(Plant!$D:$D,MATCH(O148,Plant!$A:$A,0)))</f>
        <v>0</v>
      </c>
      <c r="R148" s="24" t="n">
        <f aca="false">F148+M148+N148+Q148</f>
        <v>67.5960825</v>
      </c>
      <c r="S148" s="22" t="n">
        <f aca="false">R148*Settings!$B$4*Settings!$B$9</f>
        <v>67.5960825</v>
      </c>
      <c r="T148" s="24" t="n">
        <f aca="false">S148*(1+Settings!$B$10)</f>
        <v>79.087416525</v>
      </c>
    </row>
    <row r="149" customFormat="false" ht="15" hidden="false" customHeight="false" outlineLevel="0" collapsed="false">
      <c r="A149" s="19" t="s">
        <v>460</v>
      </c>
      <c r="B149" s="20" t="s">
        <v>461</v>
      </c>
      <c r="C149" s="19" t="s">
        <v>256</v>
      </c>
      <c r="D149" s="19" t="s">
        <v>433</v>
      </c>
      <c r="E149" s="21" t="n">
        <v>0.12</v>
      </c>
      <c r="F149" s="22" t="n">
        <f aca="false">IF(D149="",0,E149*INDEX(Gangs!$D:$D,MATCH(D149,Gangs!$A:$A,0)))</f>
        <v>18.076866</v>
      </c>
      <c r="G149" s="19" t="s">
        <v>462</v>
      </c>
      <c r="H149" s="21" t="n">
        <v>1.1</v>
      </c>
      <c r="I149" s="19"/>
      <c r="J149" s="21"/>
      <c r="K149" s="19"/>
      <c r="L149" s="21"/>
      <c r="M149" s="22" t="n">
        <f aca="false">IF(G149="",0,H149*INDEX(Materials!$E:$E,MATCH(G149,Materials!$A:$A,0)))+IF(I149="",0,J149*INDEX(Materials!$E:$E,MATCH(I149,Materials!$A:$A,0)))+IF(K149="",0,L149*INDEX(Materials!$E:$E,MATCH(K149,Materials!$A:$A,0)))</f>
        <v>41.8</v>
      </c>
      <c r="N149" s="23" t="n">
        <v>2</v>
      </c>
      <c r="O149" s="19"/>
      <c r="P149" s="21"/>
      <c r="Q149" s="22" t="n">
        <f aca="false">IF(O149="",0,P149*INDEX(Plant!$D:$D,MATCH(O149,Plant!$A:$A,0)))</f>
        <v>0</v>
      </c>
      <c r="R149" s="24" t="n">
        <f aca="false">F149+M149+N149+Q149</f>
        <v>61.876866</v>
      </c>
      <c r="S149" s="22" t="n">
        <f aca="false">R149*Settings!$B$4*Settings!$B$9</f>
        <v>61.876866</v>
      </c>
      <c r="T149" s="24" t="n">
        <f aca="false">S149*(1+Settings!$B$10)</f>
        <v>72.39593322</v>
      </c>
    </row>
    <row r="150" customFormat="false" ht="15" hidden="false" customHeight="false" outlineLevel="0" collapsed="false">
      <c r="A150" s="19" t="s">
        <v>463</v>
      </c>
      <c r="B150" s="20" t="s">
        <v>464</v>
      </c>
      <c r="C150" s="19" t="s">
        <v>256</v>
      </c>
      <c r="D150" s="19"/>
      <c r="E150" s="21"/>
      <c r="F150" s="22" t="n">
        <f aca="false">IF(D150="",0,E150*INDEX(Gangs!$D:$D,MATCH(D150,Gangs!$A:$A,0)))</f>
        <v>0</v>
      </c>
      <c r="G150" s="19" t="s">
        <v>465</v>
      </c>
      <c r="H150" s="21" t="n">
        <v>1</v>
      </c>
      <c r="I150" s="19"/>
      <c r="J150" s="21"/>
      <c r="K150" s="19"/>
      <c r="L150" s="21"/>
      <c r="M150" s="22" t="n">
        <f aca="false">IF(G150="",0,H150*INDEX(Materials!$E:$E,MATCH(G150,Materials!$A:$A,0)))+IF(I150="",0,J150*INDEX(Materials!$E:$E,MATCH(I150,Materials!$A:$A,0)))+IF(K150="",0,L150*INDEX(Materials!$E:$E,MATCH(K150,Materials!$A:$A,0)))</f>
        <v>5200</v>
      </c>
      <c r="N150" s="23" t="n">
        <v>0</v>
      </c>
      <c r="O150" s="19"/>
      <c r="P150" s="21"/>
      <c r="Q150" s="22" t="n">
        <f aca="false">IF(O150="",0,P150*INDEX(Plant!$D:$D,MATCH(O150,Plant!$A:$A,0)))</f>
        <v>0</v>
      </c>
      <c r="R150" s="24" t="n">
        <f aca="false">F150+M150+N150+Q150</f>
        <v>5200</v>
      </c>
      <c r="S150" s="22" t="n">
        <f aca="false">R150*Settings!$B$4*Settings!$B$9</f>
        <v>5200</v>
      </c>
      <c r="T150" s="24" t="n">
        <f aca="false">S150*(1+Settings!$B$10)</f>
        <v>6084</v>
      </c>
    </row>
    <row r="151" customFormat="false" ht="15" hidden="false" customHeight="false" outlineLevel="0" collapsed="false">
      <c r="A151" s="19" t="s">
        <v>466</v>
      </c>
      <c r="B151" s="20" t="s">
        <v>467</v>
      </c>
      <c r="C151" s="19" t="s">
        <v>256</v>
      </c>
      <c r="D151" s="19"/>
      <c r="E151" s="21"/>
      <c r="F151" s="22" t="n">
        <f aca="false">IF(D151="",0,E151*INDEX(Gangs!$D:$D,MATCH(D151,Gangs!$A:$A,0)))</f>
        <v>0</v>
      </c>
      <c r="G151" s="19" t="s">
        <v>468</v>
      </c>
      <c r="H151" s="21" t="n">
        <v>1</v>
      </c>
      <c r="I151" s="19"/>
      <c r="J151" s="21"/>
      <c r="K151" s="19"/>
      <c r="L151" s="21"/>
      <c r="M151" s="22" t="n">
        <f aca="false">IF(G151="",0,H151*INDEX(Materials!$E:$E,MATCH(G151,Materials!$A:$A,0)))+IF(I151="",0,J151*INDEX(Materials!$E:$E,MATCH(I151,Materials!$A:$A,0)))+IF(K151="",0,L151*INDEX(Materials!$E:$E,MATCH(K151,Materials!$A:$A,0)))</f>
        <v>5800</v>
      </c>
      <c r="N151" s="23" t="n">
        <v>0</v>
      </c>
      <c r="O151" s="19"/>
      <c r="P151" s="21"/>
      <c r="Q151" s="22" t="n">
        <f aca="false">IF(O151="",0,P151*INDEX(Plant!$D:$D,MATCH(O151,Plant!$A:$A,0)))</f>
        <v>0</v>
      </c>
      <c r="R151" s="24" t="n">
        <f aca="false">F151+M151+N151+Q151</f>
        <v>5800</v>
      </c>
      <c r="S151" s="22" t="n">
        <f aca="false">R151*Settings!$B$4*Settings!$B$9</f>
        <v>5800</v>
      </c>
      <c r="T151" s="24" t="n">
        <f aca="false">S151*(1+Settings!$B$10)</f>
        <v>6786</v>
      </c>
    </row>
    <row r="152" customFormat="false" ht="15" hidden="false" customHeight="false" outlineLevel="0" collapsed="false">
      <c r="A152" s="19" t="s">
        <v>469</v>
      </c>
      <c r="B152" s="20" t="s">
        <v>470</v>
      </c>
      <c r="C152" s="19" t="s">
        <v>256</v>
      </c>
      <c r="D152" s="19"/>
      <c r="E152" s="21"/>
      <c r="F152" s="22" t="n">
        <f aca="false">IF(D152="",0,E152*INDEX(Gangs!$D:$D,MATCH(D152,Gangs!$A:$A,0)))</f>
        <v>0</v>
      </c>
      <c r="G152" s="19" t="s">
        <v>471</v>
      </c>
      <c r="H152" s="21" t="n">
        <v>1</v>
      </c>
      <c r="I152" s="19"/>
      <c r="J152" s="21"/>
      <c r="K152" s="19"/>
      <c r="L152" s="21"/>
      <c r="M152" s="22" t="n">
        <f aca="false">IF(G152="",0,H152*INDEX(Materials!$E:$E,MATCH(G152,Materials!$A:$A,0)))+IF(I152="",0,J152*INDEX(Materials!$E:$E,MATCH(I152,Materials!$A:$A,0)))+IF(K152="",0,L152*INDEX(Materials!$E:$E,MATCH(K152,Materials!$A:$A,0)))</f>
        <v>3900</v>
      </c>
      <c r="N152" s="23" t="n">
        <v>0</v>
      </c>
      <c r="O152" s="19"/>
      <c r="P152" s="21"/>
      <c r="Q152" s="22" t="n">
        <f aca="false">IF(O152="",0,P152*INDEX(Plant!$D:$D,MATCH(O152,Plant!$A:$A,0)))</f>
        <v>0</v>
      </c>
      <c r="R152" s="24" t="n">
        <f aca="false">F152+M152+N152+Q152</f>
        <v>3900</v>
      </c>
      <c r="S152" s="22" t="n">
        <f aca="false">R152*Settings!$B$4*Settings!$B$9</f>
        <v>3900</v>
      </c>
      <c r="T152" s="24" t="n">
        <f aca="false">S152*(1+Settings!$B$10)</f>
        <v>4563</v>
      </c>
    </row>
    <row r="153" customFormat="false" ht="15" hidden="false" customHeight="false" outlineLevel="0" collapsed="false">
      <c r="A153" s="19" t="s">
        <v>472</v>
      </c>
      <c r="B153" s="20" t="s">
        <v>473</v>
      </c>
      <c r="C153" s="19" t="s">
        <v>256</v>
      </c>
      <c r="D153" s="19"/>
      <c r="E153" s="21"/>
      <c r="F153" s="22" t="n">
        <f aca="false">IF(D153="",0,E153*INDEX(Gangs!$D:$D,MATCH(D153,Gangs!$A:$A,0)))</f>
        <v>0</v>
      </c>
      <c r="G153" s="19" t="s">
        <v>474</v>
      </c>
      <c r="H153" s="21" t="n">
        <v>1</v>
      </c>
      <c r="I153" s="19"/>
      <c r="J153" s="21"/>
      <c r="K153" s="19"/>
      <c r="L153" s="21"/>
      <c r="M153" s="22" t="n">
        <f aca="false">IF(G153="",0,H153*INDEX(Materials!$E:$E,MATCH(G153,Materials!$A:$A,0)))+IF(I153="",0,J153*INDEX(Materials!$E:$E,MATCH(I153,Materials!$A:$A,0)))+IF(K153="",0,L153*INDEX(Materials!$E:$E,MATCH(K153,Materials!$A:$A,0)))</f>
        <v>3200</v>
      </c>
      <c r="N153" s="23" t="n">
        <v>0</v>
      </c>
      <c r="O153" s="19"/>
      <c r="P153" s="21"/>
      <c r="Q153" s="22" t="n">
        <f aca="false">IF(O153="",0,P153*INDEX(Plant!$D:$D,MATCH(O153,Plant!$A:$A,0)))</f>
        <v>0</v>
      </c>
      <c r="R153" s="24" t="n">
        <f aca="false">F153+M153+N153+Q153</f>
        <v>3200</v>
      </c>
      <c r="S153" s="22" t="n">
        <f aca="false">R153*Settings!$B$4*Settings!$B$9</f>
        <v>3200</v>
      </c>
      <c r="T153" s="24" t="n">
        <f aca="false">S153*(1+Settings!$B$10)</f>
        <v>3744</v>
      </c>
    </row>
    <row r="154" customFormat="false" ht="15" hidden="false" customHeight="false" outlineLevel="0" collapsed="false">
      <c r="A154" s="17" t="s">
        <v>475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customFormat="false" ht="15" hidden="false" customHeight="false" outlineLevel="0" collapsed="false">
      <c r="A155" s="19" t="s">
        <v>476</v>
      </c>
      <c r="B155" s="20" t="s">
        <v>477</v>
      </c>
      <c r="C155" s="19" t="s">
        <v>108</v>
      </c>
      <c r="D155" s="19" t="s">
        <v>154</v>
      </c>
      <c r="E155" s="21" t="n">
        <v>0.8</v>
      </c>
      <c r="F155" s="22" t="n">
        <f aca="false">IF(D155="",0,E155*INDEX(Gangs!$D:$D,MATCH(D155,Gangs!$A:$A,0)))</f>
        <v>132.89984</v>
      </c>
      <c r="G155" s="19" t="s">
        <v>478</v>
      </c>
      <c r="H155" s="21" t="n">
        <v>1</v>
      </c>
      <c r="I155" s="19" t="s">
        <v>156</v>
      </c>
      <c r="J155" s="21" t="n">
        <v>0.005</v>
      </c>
      <c r="K155" s="19"/>
      <c r="L155" s="21"/>
      <c r="M155" s="22" t="n">
        <f aca="false">IF(G155="",0,H155*INDEX(Materials!$E:$E,MATCH(G155,Materials!$A:$A,0)))+IF(I155="",0,J155*INDEX(Materials!$E:$E,MATCH(I155,Materials!$A:$A,0)))+IF(K155="",0,L155*INDEX(Materials!$E:$E,MATCH(K155,Materials!$A:$A,0)))</f>
        <v>1355.74</v>
      </c>
      <c r="N155" s="23" t="n">
        <v>0</v>
      </c>
      <c r="O155" s="19"/>
      <c r="P155" s="21"/>
      <c r="Q155" s="22" t="n">
        <f aca="false">IF(O155="",0,P155*INDEX(Plant!$D:$D,MATCH(O155,Plant!$A:$A,0)))</f>
        <v>0</v>
      </c>
      <c r="R155" s="24" t="n">
        <f aca="false">F155+M155+N155+Q155</f>
        <v>1488.63984</v>
      </c>
      <c r="S155" s="22" t="n">
        <f aca="false">R155*Settings!$B$4*Settings!$B$9</f>
        <v>1488.63984</v>
      </c>
      <c r="T155" s="24" t="n">
        <f aca="false">S155*(1+Settings!$B$10)</f>
        <v>1741.7086128</v>
      </c>
    </row>
    <row r="156" customFormat="false" ht="15" hidden="false" customHeight="false" outlineLevel="0" collapsed="false">
      <c r="A156" s="19" t="s">
        <v>479</v>
      </c>
      <c r="B156" s="20" t="s">
        <v>480</v>
      </c>
      <c r="C156" s="19" t="s">
        <v>108</v>
      </c>
      <c r="D156" s="19" t="s">
        <v>481</v>
      </c>
      <c r="E156" s="21" t="n">
        <v>0.5</v>
      </c>
      <c r="F156" s="22" t="n">
        <f aca="false">IF(D156="",0,E156*INDEX(Gangs!$D:$D,MATCH(D156,Gangs!$A:$A,0)))</f>
        <v>56.507875</v>
      </c>
      <c r="G156" s="19" t="s">
        <v>482</v>
      </c>
      <c r="H156" s="21" t="n">
        <v>1</v>
      </c>
      <c r="I156" s="19"/>
      <c r="J156" s="21"/>
      <c r="K156" s="19"/>
      <c r="L156" s="21"/>
      <c r="M156" s="22" t="n">
        <f aca="false">IF(G156="",0,H156*INDEX(Materials!$E:$E,MATCH(G156,Materials!$A:$A,0)))+IF(I156="",0,J156*INDEX(Materials!$E:$E,MATCH(I156,Materials!$A:$A,0)))+IF(K156="",0,L156*INDEX(Materials!$E:$E,MATCH(K156,Materials!$A:$A,0)))</f>
        <v>2650</v>
      </c>
      <c r="N156" s="23" t="n">
        <v>30</v>
      </c>
      <c r="O156" s="19"/>
      <c r="P156" s="21"/>
      <c r="Q156" s="22" t="n">
        <f aca="false">IF(O156="",0,P156*INDEX(Plant!$D:$D,MATCH(O156,Plant!$A:$A,0)))</f>
        <v>0</v>
      </c>
      <c r="R156" s="24" t="n">
        <f aca="false">F156+M156+N156+Q156</f>
        <v>2736.507875</v>
      </c>
      <c r="S156" s="22" t="n">
        <f aca="false">R156*Settings!$B$4*Settings!$B$9</f>
        <v>2736.507875</v>
      </c>
      <c r="T156" s="24" t="n">
        <f aca="false">S156*(1+Settings!$B$10)</f>
        <v>3201.71421375</v>
      </c>
    </row>
    <row r="157" customFormat="false" ht="15" hidden="false" customHeight="false" outlineLevel="0" collapsed="false">
      <c r="A157" s="19" t="s">
        <v>483</v>
      </c>
      <c r="B157" s="20" t="s">
        <v>484</v>
      </c>
      <c r="C157" s="19" t="s">
        <v>108</v>
      </c>
      <c r="D157" s="19" t="s">
        <v>481</v>
      </c>
      <c r="E157" s="21" t="n">
        <v>0.6</v>
      </c>
      <c r="F157" s="22" t="n">
        <f aca="false">IF(D157="",0,E157*INDEX(Gangs!$D:$D,MATCH(D157,Gangs!$A:$A,0)))</f>
        <v>67.80945</v>
      </c>
      <c r="G157" s="19" t="s">
        <v>485</v>
      </c>
      <c r="H157" s="21" t="n">
        <v>1</v>
      </c>
      <c r="I157" s="19"/>
      <c r="J157" s="21"/>
      <c r="K157" s="19"/>
      <c r="L157" s="21"/>
      <c r="M157" s="22" t="n">
        <f aca="false">IF(G157="",0,H157*INDEX(Materials!$E:$E,MATCH(G157,Materials!$A:$A,0)))+IF(I157="",0,J157*INDEX(Materials!$E:$E,MATCH(I157,Materials!$A:$A,0)))+IF(K157="",0,L157*INDEX(Materials!$E:$E,MATCH(K157,Materials!$A:$A,0)))</f>
        <v>3100</v>
      </c>
      <c r="N157" s="23" t="n">
        <v>30</v>
      </c>
      <c r="O157" s="19"/>
      <c r="P157" s="21"/>
      <c r="Q157" s="22" t="n">
        <f aca="false">IF(O157="",0,P157*INDEX(Plant!$D:$D,MATCH(O157,Plant!$A:$A,0)))</f>
        <v>0</v>
      </c>
      <c r="R157" s="24" t="n">
        <f aca="false">F157+M157+N157+Q157</f>
        <v>3197.80945</v>
      </c>
      <c r="S157" s="22" t="n">
        <f aca="false">R157*Settings!$B$4*Settings!$B$9</f>
        <v>3197.80945</v>
      </c>
      <c r="T157" s="24" t="n">
        <f aca="false">S157*(1+Settings!$B$10)</f>
        <v>3741.4370565</v>
      </c>
    </row>
    <row r="158" customFormat="false" ht="15" hidden="false" customHeight="false" outlineLevel="0" collapsed="false">
      <c r="A158" s="19" t="s">
        <v>486</v>
      </c>
      <c r="B158" s="20" t="s">
        <v>487</v>
      </c>
      <c r="C158" s="19" t="s">
        <v>108</v>
      </c>
      <c r="D158" s="19" t="s">
        <v>481</v>
      </c>
      <c r="E158" s="21" t="n">
        <v>0.7</v>
      </c>
      <c r="F158" s="22" t="n">
        <f aca="false">IF(D158="",0,E158*INDEX(Gangs!$D:$D,MATCH(D158,Gangs!$A:$A,0)))</f>
        <v>79.111025</v>
      </c>
      <c r="G158" s="19" t="s">
        <v>488</v>
      </c>
      <c r="H158" s="21" t="n">
        <v>1</v>
      </c>
      <c r="I158" s="19"/>
      <c r="J158" s="21"/>
      <c r="K158" s="19"/>
      <c r="L158" s="21"/>
      <c r="M158" s="22" t="n">
        <f aca="false">IF(G158="",0,H158*INDEX(Materials!$E:$E,MATCH(G158,Materials!$A:$A,0)))+IF(I158="",0,J158*INDEX(Materials!$E:$E,MATCH(I158,Materials!$A:$A,0)))+IF(K158="",0,L158*INDEX(Materials!$E:$E,MATCH(K158,Materials!$A:$A,0)))</f>
        <v>3400</v>
      </c>
      <c r="N158" s="23" t="n">
        <v>30</v>
      </c>
      <c r="O158" s="19"/>
      <c r="P158" s="21"/>
      <c r="Q158" s="22" t="n">
        <f aca="false">IF(O158="",0,P158*INDEX(Plant!$D:$D,MATCH(O158,Plant!$A:$A,0)))</f>
        <v>0</v>
      </c>
      <c r="R158" s="24" t="n">
        <f aca="false">F158+M158+N158+Q158</f>
        <v>3509.111025</v>
      </c>
      <c r="S158" s="22" t="n">
        <f aca="false">R158*Settings!$B$4*Settings!$B$9</f>
        <v>3509.111025</v>
      </c>
      <c r="T158" s="24" t="n">
        <f aca="false">S158*(1+Settings!$B$10)</f>
        <v>4105.65989925</v>
      </c>
    </row>
    <row r="159" customFormat="false" ht="15" hidden="false" customHeight="false" outlineLevel="0" collapsed="false">
      <c r="A159" s="19" t="s">
        <v>489</v>
      </c>
      <c r="B159" s="20" t="s">
        <v>490</v>
      </c>
      <c r="C159" s="19" t="s">
        <v>108</v>
      </c>
      <c r="D159" s="19" t="s">
        <v>481</v>
      </c>
      <c r="E159" s="21" t="n">
        <v>0.5</v>
      </c>
      <c r="F159" s="22" t="n">
        <f aca="false">IF(D159="",0,E159*INDEX(Gangs!$D:$D,MATCH(D159,Gangs!$A:$A,0)))</f>
        <v>56.507875</v>
      </c>
      <c r="G159" s="19" t="s">
        <v>491</v>
      </c>
      <c r="H159" s="21" t="n">
        <v>1</v>
      </c>
      <c r="I159" s="19"/>
      <c r="J159" s="21"/>
      <c r="K159" s="19"/>
      <c r="L159" s="21"/>
      <c r="M159" s="22" t="n">
        <f aca="false">IF(G159="",0,H159*INDEX(Materials!$E:$E,MATCH(G159,Materials!$A:$A,0)))+IF(I159="",0,J159*INDEX(Materials!$E:$E,MATCH(I159,Materials!$A:$A,0)))+IF(K159="",0,L159*INDEX(Materials!$E:$E,MATCH(K159,Materials!$A:$A,0)))</f>
        <v>3300</v>
      </c>
      <c r="N159" s="23" t="n">
        <v>30</v>
      </c>
      <c r="O159" s="19"/>
      <c r="P159" s="21"/>
      <c r="Q159" s="22" t="n">
        <f aca="false">IF(O159="",0,P159*INDEX(Plant!$D:$D,MATCH(O159,Plant!$A:$A,0)))</f>
        <v>0</v>
      </c>
      <c r="R159" s="24" t="n">
        <f aca="false">F159+M159+N159+Q159</f>
        <v>3386.507875</v>
      </c>
      <c r="S159" s="22" t="n">
        <f aca="false">R159*Settings!$B$4*Settings!$B$9</f>
        <v>3386.507875</v>
      </c>
      <c r="T159" s="24" t="n">
        <f aca="false">S159*(1+Settings!$B$10)</f>
        <v>3962.21421375</v>
      </c>
    </row>
    <row r="160" customFormat="false" ht="15" hidden="false" customHeight="false" outlineLevel="0" collapsed="false">
      <c r="A160" s="19" t="s">
        <v>492</v>
      </c>
      <c r="B160" s="20" t="s">
        <v>493</v>
      </c>
      <c r="C160" s="19" t="s">
        <v>108</v>
      </c>
      <c r="D160" s="19" t="s">
        <v>433</v>
      </c>
      <c r="E160" s="21" t="n">
        <v>1.2</v>
      </c>
      <c r="F160" s="22" t="n">
        <f aca="false">IF(D160="",0,E160*INDEX(Gangs!$D:$D,MATCH(D160,Gangs!$A:$A,0)))</f>
        <v>180.76866</v>
      </c>
      <c r="G160" s="19" t="s">
        <v>494</v>
      </c>
      <c r="H160" s="21" t="n">
        <v>1</v>
      </c>
      <c r="I160" s="19"/>
      <c r="J160" s="21"/>
      <c r="K160" s="19"/>
      <c r="L160" s="21"/>
      <c r="M160" s="22" t="n">
        <f aca="false">IF(G160="",0,H160*INDEX(Materials!$E:$E,MATCH(G160,Materials!$A:$A,0)))+IF(I160="",0,J160*INDEX(Materials!$E:$E,MATCH(I160,Materials!$A:$A,0)))+IF(K160="",0,L160*INDEX(Materials!$E:$E,MATCH(K160,Materials!$A:$A,0)))</f>
        <v>2900</v>
      </c>
      <c r="N160" s="23" t="n">
        <v>20</v>
      </c>
      <c r="O160" s="19"/>
      <c r="P160" s="21"/>
      <c r="Q160" s="22" t="n">
        <f aca="false">IF(O160="",0,P160*INDEX(Plant!$D:$D,MATCH(O160,Plant!$A:$A,0)))</f>
        <v>0</v>
      </c>
      <c r="R160" s="24" t="n">
        <f aca="false">F160+M160+N160+Q160</f>
        <v>3100.76866</v>
      </c>
      <c r="S160" s="22" t="n">
        <f aca="false">R160*Settings!$B$4*Settings!$B$9</f>
        <v>3100.76866</v>
      </c>
      <c r="T160" s="24" t="n">
        <f aca="false">S160*(1+Settings!$B$10)</f>
        <v>3627.8993322</v>
      </c>
    </row>
    <row r="161" customFormat="false" ht="15" hidden="false" customHeight="false" outlineLevel="0" collapsed="false">
      <c r="A161" s="19" t="s">
        <v>495</v>
      </c>
      <c r="B161" s="20" t="s">
        <v>496</v>
      </c>
      <c r="C161" s="19" t="s">
        <v>108</v>
      </c>
      <c r="D161" s="19" t="s">
        <v>481</v>
      </c>
      <c r="E161" s="21" t="n">
        <v>0.5</v>
      </c>
      <c r="F161" s="22" t="n">
        <f aca="false">IF(D161="",0,E161*INDEX(Gangs!$D:$D,MATCH(D161,Gangs!$A:$A,0)))</f>
        <v>56.507875</v>
      </c>
      <c r="G161" s="19" t="s">
        <v>497</v>
      </c>
      <c r="H161" s="21" t="n">
        <v>1</v>
      </c>
      <c r="I161" s="19"/>
      <c r="J161" s="21"/>
      <c r="K161" s="19"/>
      <c r="L161" s="21"/>
      <c r="M161" s="22" t="n">
        <f aca="false">IF(G161="",0,H161*INDEX(Materials!$E:$E,MATCH(G161,Materials!$A:$A,0)))+IF(I161="",0,J161*INDEX(Materials!$E:$E,MATCH(I161,Materials!$A:$A,0)))+IF(K161="",0,L161*INDEX(Materials!$E:$E,MATCH(K161,Materials!$A:$A,0)))</f>
        <v>650</v>
      </c>
      <c r="N161" s="23" t="n">
        <v>15</v>
      </c>
      <c r="O161" s="19"/>
      <c r="P161" s="21"/>
      <c r="Q161" s="22" t="n">
        <f aca="false">IF(O161="",0,P161*INDEX(Plant!$D:$D,MATCH(O161,Plant!$A:$A,0)))</f>
        <v>0</v>
      </c>
      <c r="R161" s="24" t="n">
        <f aca="false">F161+M161+N161+Q161</f>
        <v>721.507875</v>
      </c>
      <c r="S161" s="22" t="n">
        <f aca="false">R161*Settings!$B$4*Settings!$B$9</f>
        <v>721.507875</v>
      </c>
      <c r="T161" s="24" t="n">
        <f aca="false">S161*(1+Settings!$B$10)</f>
        <v>844.16421375</v>
      </c>
    </row>
    <row r="162" customFormat="false" ht="15" hidden="false" customHeight="false" outlineLevel="0" collapsed="false">
      <c r="A162" s="19" t="s">
        <v>498</v>
      </c>
      <c r="B162" s="20" t="s">
        <v>499</v>
      </c>
      <c r="C162" s="19" t="s">
        <v>108</v>
      </c>
      <c r="D162" s="19" t="s">
        <v>481</v>
      </c>
      <c r="E162" s="21" t="n">
        <v>0.6</v>
      </c>
      <c r="F162" s="22" t="n">
        <f aca="false">IF(D162="",0,E162*INDEX(Gangs!$D:$D,MATCH(D162,Gangs!$A:$A,0)))</f>
        <v>67.80945</v>
      </c>
      <c r="G162" s="19" t="s">
        <v>500</v>
      </c>
      <c r="H162" s="21" t="n">
        <v>1</v>
      </c>
      <c r="I162" s="19"/>
      <c r="J162" s="21"/>
      <c r="K162" s="19"/>
      <c r="L162" s="21"/>
      <c r="M162" s="22" t="n">
        <f aca="false">IF(G162="",0,H162*INDEX(Materials!$E:$E,MATCH(G162,Materials!$A:$A,0)))+IF(I162="",0,J162*INDEX(Materials!$E:$E,MATCH(I162,Materials!$A:$A,0)))+IF(K162="",0,L162*INDEX(Materials!$E:$E,MATCH(K162,Materials!$A:$A,0)))</f>
        <v>1500</v>
      </c>
      <c r="N162" s="23" t="n">
        <v>20</v>
      </c>
      <c r="O162" s="19"/>
      <c r="P162" s="21"/>
      <c r="Q162" s="22" t="n">
        <f aca="false">IF(O162="",0,P162*INDEX(Plant!$D:$D,MATCH(O162,Plant!$A:$A,0)))</f>
        <v>0</v>
      </c>
      <c r="R162" s="24" t="n">
        <f aca="false">F162+M162+N162+Q162</f>
        <v>1587.80945</v>
      </c>
      <c r="S162" s="22" t="n">
        <f aca="false">R162*Settings!$B$4*Settings!$B$9</f>
        <v>1587.80945</v>
      </c>
      <c r="T162" s="24" t="n">
        <f aca="false">S162*(1+Settings!$B$10)</f>
        <v>1857.7370565</v>
      </c>
    </row>
    <row r="163" customFormat="false" ht="15" hidden="false" customHeight="false" outlineLevel="0" collapsed="false">
      <c r="A163" s="19" t="s">
        <v>501</v>
      </c>
      <c r="B163" s="20" t="s">
        <v>502</v>
      </c>
      <c r="C163" s="19" t="s">
        <v>96</v>
      </c>
      <c r="D163" s="19"/>
      <c r="E163" s="21"/>
      <c r="F163" s="22" t="n">
        <f aca="false">IF(D163="",0,E163*INDEX(Gangs!$D:$D,MATCH(D163,Gangs!$A:$A,0)))</f>
        <v>0</v>
      </c>
      <c r="G163" s="19" t="s">
        <v>503</v>
      </c>
      <c r="H163" s="21" t="n">
        <v>1</v>
      </c>
      <c r="I163" s="19"/>
      <c r="J163" s="21"/>
      <c r="K163" s="19"/>
      <c r="L163" s="21"/>
      <c r="M163" s="22" t="n">
        <f aca="false">IF(G163="",0,H163*INDEX(Materials!$E:$E,MATCH(G163,Materials!$A:$A,0)))+IF(I163="",0,J163*INDEX(Materials!$E:$E,MATCH(I163,Materials!$A:$A,0)))+IF(K163="",0,L163*INDEX(Materials!$E:$E,MATCH(K163,Materials!$A:$A,0)))</f>
        <v>16500</v>
      </c>
      <c r="N163" s="23" t="n">
        <v>0</v>
      </c>
      <c r="O163" s="19"/>
      <c r="P163" s="21"/>
      <c r="Q163" s="22" t="n">
        <f aca="false">IF(O163="",0,P163*INDEX(Plant!$D:$D,MATCH(O163,Plant!$A:$A,0)))</f>
        <v>0</v>
      </c>
      <c r="R163" s="24" t="n">
        <f aca="false">F163+M163+N163+Q163</f>
        <v>16500</v>
      </c>
      <c r="S163" s="22" t="n">
        <f aca="false">R163*Settings!$B$4*Settings!$B$9</f>
        <v>16500</v>
      </c>
      <c r="T163" s="24" t="n">
        <f aca="false">S163*(1+Settings!$B$10)</f>
        <v>19305</v>
      </c>
    </row>
    <row r="164" customFormat="false" ht="15" hidden="false" customHeight="false" outlineLevel="0" collapsed="false">
      <c r="A164" s="19" t="s">
        <v>504</v>
      </c>
      <c r="B164" s="20" t="s">
        <v>505</v>
      </c>
      <c r="C164" s="19" t="s">
        <v>96</v>
      </c>
      <c r="D164" s="19"/>
      <c r="E164" s="21"/>
      <c r="F164" s="22" t="n">
        <f aca="false">IF(D164="",0,E164*INDEX(Gangs!$D:$D,MATCH(D164,Gangs!$A:$A,0)))</f>
        <v>0</v>
      </c>
      <c r="G164" s="19" t="s">
        <v>506</v>
      </c>
      <c r="H164" s="21" t="n">
        <v>1</v>
      </c>
      <c r="I164" s="19"/>
      <c r="J164" s="21"/>
      <c r="K164" s="19"/>
      <c r="L164" s="21"/>
      <c r="M164" s="22" t="n">
        <f aca="false">IF(G164="",0,H164*INDEX(Materials!$E:$E,MATCH(G164,Materials!$A:$A,0)))+IF(I164="",0,J164*INDEX(Materials!$E:$E,MATCH(I164,Materials!$A:$A,0)))+IF(K164="",0,L164*INDEX(Materials!$E:$E,MATCH(K164,Materials!$A:$A,0)))</f>
        <v>6500</v>
      </c>
      <c r="N164" s="23" t="n">
        <v>0</v>
      </c>
      <c r="O164" s="19"/>
      <c r="P164" s="21"/>
      <c r="Q164" s="22" t="n">
        <f aca="false">IF(O164="",0,P164*INDEX(Plant!$D:$D,MATCH(O164,Plant!$A:$A,0)))</f>
        <v>0</v>
      </c>
      <c r="R164" s="24" t="n">
        <f aca="false">F164+M164+N164+Q164</f>
        <v>6500</v>
      </c>
      <c r="S164" s="22" t="n">
        <f aca="false">R164*Settings!$B$4*Settings!$B$9</f>
        <v>6500</v>
      </c>
      <c r="T164" s="24" t="n">
        <f aca="false">S164*(1+Settings!$B$10)</f>
        <v>7605</v>
      </c>
    </row>
    <row r="165" customFormat="false" ht="15" hidden="false" customHeight="false" outlineLevel="0" collapsed="false">
      <c r="A165" s="17" t="s">
        <v>507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</row>
    <row r="166" customFormat="false" ht="15" hidden="false" customHeight="false" outlineLevel="0" collapsed="false">
      <c r="A166" s="19" t="s">
        <v>508</v>
      </c>
      <c r="B166" s="20" t="s">
        <v>509</v>
      </c>
      <c r="C166" s="19" t="s">
        <v>108</v>
      </c>
      <c r="D166" s="19" t="s">
        <v>510</v>
      </c>
      <c r="E166" s="21" t="n">
        <v>0.5</v>
      </c>
      <c r="F166" s="22" t="n">
        <f aca="false">IF(D166="",0,E166*INDEX(Gangs!$D:$D,MATCH(D166,Gangs!$A:$A,0)))</f>
        <v>73.7686375</v>
      </c>
      <c r="G166" s="19" t="s">
        <v>511</v>
      </c>
      <c r="H166" s="21" t="n">
        <v>1.1</v>
      </c>
      <c r="I166" s="19" t="s">
        <v>375</v>
      </c>
      <c r="J166" s="21" t="n">
        <v>2.5</v>
      </c>
      <c r="K166" s="19"/>
      <c r="L166" s="21"/>
      <c r="M166" s="22" t="n">
        <f aca="false">IF(G166="",0,H166*INDEX(Materials!$E:$E,MATCH(G166,Materials!$A:$A,0)))+IF(I166="",0,J166*INDEX(Materials!$E:$E,MATCH(I166,Materials!$A:$A,0)))+IF(K166="",0,L166*INDEX(Materials!$E:$E,MATCH(K166,Materials!$A:$A,0)))</f>
        <v>90.05</v>
      </c>
      <c r="N166" s="23" t="n">
        <v>8</v>
      </c>
      <c r="O166" s="19"/>
      <c r="P166" s="21"/>
      <c r="Q166" s="22" t="n">
        <f aca="false">IF(O166="",0,P166*INDEX(Plant!$D:$D,MATCH(O166,Plant!$A:$A,0)))</f>
        <v>0</v>
      </c>
      <c r="R166" s="24" t="n">
        <f aca="false">F166+M166+N166+Q166</f>
        <v>171.8186375</v>
      </c>
      <c r="S166" s="22" t="n">
        <f aca="false">R166*Settings!$B$4*Settings!$B$9</f>
        <v>171.8186375</v>
      </c>
      <c r="T166" s="24" t="n">
        <f aca="false">S166*(1+Settings!$B$10)</f>
        <v>201.027805875</v>
      </c>
    </row>
    <row r="167" customFormat="false" ht="15" hidden="false" customHeight="false" outlineLevel="0" collapsed="false">
      <c r="A167" s="19" t="s">
        <v>512</v>
      </c>
      <c r="B167" s="20" t="s">
        <v>513</v>
      </c>
      <c r="C167" s="19" t="s">
        <v>108</v>
      </c>
      <c r="D167" s="19" t="s">
        <v>510</v>
      </c>
      <c r="E167" s="21" t="n">
        <v>0.55</v>
      </c>
      <c r="F167" s="22" t="n">
        <f aca="false">IF(D167="",0,E167*INDEX(Gangs!$D:$D,MATCH(D167,Gangs!$A:$A,0)))</f>
        <v>81.14550125</v>
      </c>
      <c r="G167" s="19" t="s">
        <v>514</v>
      </c>
      <c r="H167" s="21" t="n">
        <v>1.1</v>
      </c>
      <c r="I167" s="19" t="s">
        <v>375</v>
      </c>
      <c r="J167" s="21" t="n">
        <v>2.5</v>
      </c>
      <c r="K167" s="19"/>
      <c r="L167" s="21"/>
      <c r="M167" s="22" t="n">
        <f aca="false">IF(G167="",0,H167*INDEX(Materials!$E:$E,MATCH(G167,Materials!$A:$A,0)))+IF(I167="",0,J167*INDEX(Materials!$E:$E,MATCH(I167,Materials!$A:$A,0)))+IF(K167="",0,L167*INDEX(Materials!$E:$E,MATCH(K167,Materials!$A:$A,0)))</f>
        <v>105.45</v>
      </c>
      <c r="N167" s="23" t="n">
        <v>8</v>
      </c>
      <c r="O167" s="19"/>
      <c r="P167" s="21"/>
      <c r="Q167" s="22" t="n">
        <f aca="false">IF(O167="",0,P167*INDEX(Plant!$D:$D,MATCH(O167,Plant!$A:$A,0)))</f>
        <v>0</v>
      </c>
      <c r="R167" s="24" t="n">
        <f aca="false">F167+M167+N167+Q167</f>
        <v>194.59550125</v>
      </c>
      <c r="S167" s="22" t="n">
        <f aca="false">R167*Settings!$B$4*Settings!$B$9</f>
        <v>194.59550125</v>
      </c>
      <c r="T167" s="24" t="n">
        <f aca="false">S167*(1+Settings!$B$10)</f>
        <v>227.6767364625</v>
      </c>
    </row>
    <row r="168" customFormat="false" ht="15" hidden="false" customHeight="false" outlineLevel="0" collapsed="false">
      <c r="A168" s="19" t="s">
        <v>515</v>
      </c>
      <c r="B168" s="20" t="s">
        <v>516</v>
      </c>
      <c r="C168" s="19" t="s">
        <v>108</v>
      </c>
      <c r="D168" s="19" t="s">
        <v>510</v>
      </c>
      <c r="E168" s="21" t="n">
        <v>0.35</v>
      </c>
      <c r="F168" s="22" t="n">
        <f aca="false">IF(D168="",0,E168*INDEX(Gangs!$D:$D,MATCH(D168,Gangs!$A:$A,0)))</f>
        <v>51.63804625</v>
      </c>
      <c r="G168" s="19" t="s">
        <v>517</v>
      </c>
      <c r="H168" s="21" t="n">
        <v>1.05</v>
      </c>
      <c r="I168" s="19"/>
      <c r="J168" s="21"/>
      <c r="K168" s="19"/>
      <c r="L168" s="21"/>
      <c r="M168" s="22" t="n">
        <f aca="false">IF(G168="",0,H168*INDEX(Materials!$E:$E,MATCH(G168,Materials!$A:$A,0)))+IF(I168="",0,J168*INDEX(Materials!$E:$E,MATCH(I168,Materials!$A:$A,0)))+IF(K168="",0,L168*INDEX(Materials!$E:$E,MATCH(K168,Materials!$A:$A,0)))</f>
        <v>252</v>
      </c>
      <c r="N168" s="23" t="n">
        <v>0</v>
      </c>
      <c r="O168" s="19"/>
      <c r="P168" s="21"/>
      <c r="Q168" s="22" t="n">
        <f aca="false">IF(O168="",0,P168*INDEX(Plant!$D:$D,MATCH(O168,Plant!$A:$A,0)))</f>
        <v>0</v>
      </c>
      <c r="R168" s="24" t="n">
        <f aca="false">F168+M168+N168+Q168</f>
        <v>303.63804625</v>
      </c>
      <c r="S168" s="22" t="n">
        <f aca="false">R168*Settings!$B$4*Settings!$B$9</f>
        <v>303.63804625</v>
      </c>
      <c r="T168" s="24" t="n">
        <f aca="false">S168*(1+Settings!$B$10)</f>
        <v>355.2565141125</v>
      </c>
    </row>
    <row r="169" customFormat="false" ht="15" hidden="false" customHeight="false" outlineLevel="0" collapsed="false">
      <c r="A169" s="19" t="s">
        <v>518</v>
      </c>
      <c r="B169" s="20" t="s">
        <v>519</v>
      </c>
      <c r="C169" s="19" t="s">
        <v>108</v>
      </c>
      <c r="D169" s="19" t="s">
        <v>510</v>
      </c>
      <c r="E169" s="21" t="n">
        <v>0.7</v>
      </c>
      <c r="F169" s="22" t="n">
        <f aca="false">IF(D169="",0,E169*INDEX(Gangs!$D:$D,MATCH(D169,Gangs!$A:$A,0)))</f>
        <v>103.2760925</v>
      </c>
      <c r="G169" s="19" t="s">
        <v>514</v>
      </c>
      <c r="H169" s="21" t="n">
        <v>1.1</v>
      </c>
      <c r="I169" s="19" t="s">
        <v>520</v>
      </c>
      <c r="J169" s="21" t="n">
        <v>1.05</v>
      </c>
      <c r="K169" s="19"/>
      <c r="L169" s="21"/>
      <c r="M169" s="22" t="n">
        <f aca="false">IF(G169="",0,H169*INDEX(Materials!$E:$E,MATCH(G169,Materials!$A:$A,0)))+IF(I169="",0,J169*INDEX(Materials!$E:$E,MATCH(I169,Materials!$A:$A,0)))+IF(K169="",0,L169*INDEX(Materials!$E:$E,MATCH(K169,Materials!$A:$A,0)))</f>
        <v>178.95</v>
      </c>
      <c r="N169" s="23" t="n">
        <v>10</v>
      </c>
      <c r="O169" s="19"/>
      <c r="P169" s="21"/>
      <c r="Q169" s="22" t="n">
        <f aca="false">IF(O169="",0,P169*INDEX(Plant!$D:$D,MATCH(O169,Plant!$A:$A,0)))</f>
        <v>0</v>
      </c>
      <c r="R169" s="24" t="n">
        <f aca="false">F169+M169+N169+Q169</f>
        <v>292.2260925</v>
      </c>
      <c r="S169" s="22" t="n">
        <f aca="false">R169*Settings!$B$4*Settings!$B$9</f>
        <v>292.2260925</v>
      </c>
      <c r="T169" s="24" t="n">
        <f aca="false">S169*(1+Settings!$B$10)</f>
        <v>341.904528225</v>
      </c>
    </row>
    <row r="170" customFormat="false" ht="15" hidden="false" customHeight="false" outlineLevel="0" collapsed="false">
      <c r="A170" s="19" t="s">
        <v>521</v>
      </c>
      <c r="B170" s="20" t="s">
        <v>522</v>
      </c>
      <c r="C170" s="19" t="s">
        <v>108</v>
      </c>
      <c r="D170" s="19" t="s">
        <v>364</v>
      </c>
      <c r="E170" s="21" t="n">
        <v>0.6</v>
      </c>
      <c r="F170" s="22" t="n">
        <f aca="false">IF(D170="",0,E170*INDEX(Gangs!$D:$D,MATCH(D170,Gangs!$A:$A,0)))</f>
        <v>122.24976</v>
      </c>
      <c r="G170" s="19" t="s">
        <v>523</v>
      </c>
      <c r="H170" s="21" t="n">
        <v>1.1</v>
      </c>
      <c r="I170" s="19" t="s">
        <v>375</v>
      </c>
      <c r="J170" s="21" t="n">
        <v>2.5</v>
      </c>
      <c r="K170" s="19"/>
      <c r="L170" s="21"/>
      <c r="M170" s="22" t="n">
        <f aca="false">IF(G170="",0,H170*INDEX(Materials!$E:$E,MATCH(G170,Materials!$A:$A,0)))+IF(I170="",0,J170*INDEX(Materials!$E:$E,MATCH(I170,Materials!$A:$A,0)))+IF(K170="",0,L170*INDEX(Materials!$E:$E,MATCH(K170,Materials!$A:$A,0)))</f>
        <v>123.05</v>
      </c>
      <c r="N170" s="23" t="n">
        <v>0</v>
      </c>
      <c r="O170" s="19"/>
      <c r="P170" s="21"/>
      <c r="Q170" s="22" t="n">
        <f aca="false">IF(O170="",0,P170*INDEX(Plant!$D:$D,MATCH(O170,Plant!$A:$A,0)))</f>
        <v>0</v>
      </c>
      <c r="R170" s="24" t="n">
        <f aca="false">F170+M170+N170+Q170</f>
        <v>245.29976</v>
      </c>
      <c r="S170" s="22" t="n">
        <f aca="false">R170*Settings!$B$4*Settings!$B$9</f>
        <v>245.29976</v>
      </c>
      <c r="T170" s="24" t="n">
        <f aca="false">S170*(1+Settings!$B$10)</f>
        <v>287.0007192</v>
      </c>
    </row>
    <row r="171" customFormat="false" ht="15" hidden="false" customHeight="false" outlineLevel="0" collapsed="false">
      <c r="A171" s="19" t="s">
        <v>524</v>
      </c>
      <c r="B171" s="20" t="s">
        <v>525</v>
      </c>
      <c r="C171" s="19" t="s">
        <v>256</v>
      </c>
      <c r="D171" s="19" t="s">
        <v>510</v>
      </c>
      <c r="E171" s="21" t="n">
        <v>0.08</v>
      </c>
      <c r="F171" s="22" t="n">
        <f aca="false">IF(D171="",0,E171*INDEX(Gangs!$D:$D,MATCH(D171,Gangs!$A:$A,0)))</f>
        <v>11.802982</v>
      </c>
      <c r="G171" s="19" t="s">
        <v>526</v>
      </c>
      <c r="H171" s="21" t="n">
        <v>1.1</v>
      </c>
      <c r="I171" s="19"/>
      <c r="J171" s="21"/>
      <c r="K171" s="19"/>
      <c r="L171" s="21"/>
      <c r="M171" s="22" t="n">
        <f aca="false">IF(G171="",0,H171*INDEX(Materials!$E:$E,MATCH(G171,Materials!$A:$A,0)))+IF(I171="",0,J171*INDEX(Materials!$E:$E,MATCH(I171,Materials!$A:$A,0)))+IF(K171="",0,L171*INDEX(Materials!$E:$E,MATCH(K171,Materials!$A:$A,0)))</f>
        <v>17.6</v>
      </c>
      <c r="N171" s="23" t="n">
        <v>1</v>
      </c>
      <c r="O171" s="19"/>
      <c r="P171" s="21"/>
      <c r="Q171" s="22" t="n">
        <f aca="false">IF(O171="",0,P171*INDEX(Plant!$D:$D,MATCH(O171,Plant!$A:$A,0)))</f>
        <v>0</v>
      </c>
      <c r="R171" s="24" t="n">
        <f aca="false">F171+M171+N171+Q171</f>
        <v>30.402982</v>
      </c>
      <c r="S171" s="22" t="n">
        <f aca="false">R171*Settings!$B$4*Settings!$B$9</f>
        <v>30.402982</v>
      </c>
      <c r="T171" s="24" t="n">
        <f aca="false">S171*(1+Settings!$B$10)</f>
        <v>35.57148894</v>
      </c>
    </row>
    <row r="172" customFormat="false" ht="15" hidden="false" customHeight="false" outlineLevel="0" collapsed="false">
      <c r="A172" s="19" t="s">
        <v>527</v>
      </c>
      <c r="B172" s="20" t="s">
        <v>528</v>
      </c>
      <c r="C172" s="19" t="s">
        <v>108</v>
      </c>
      <c r="D172" s="19" t="s">
        <v>510</v>
      </c>
      <c r="E172" s="21" t="n">
        <v>1.1</v>
      </c>
      <c r="F172" s="22" t="n">
        <f aca="false">IF(D172="",0,E172*INDEX(Gangs!$D:$D,MATCH(D172,Gangs!$A:$A,0)))</f>
        <v>162.2910025</v>
      </c>
      <c r="G172" s="19" t="s">
        <v>529</v>
      </c>
      <c r="H172" s="21" t="n">
        <v>1.05</v>
      </c>
      <c r="I172" s="19" t="s">
        <v>530</v>
      </c>
      <c r="J172" s="21" t="n">
        <v>2.2</v>
      </c>
      <c r="K172" s="19"/>
      <c r="L172" s="21"/>
      <c r="M172" s="22" t="n">
        <f aca="false">IF(G172="",0,H172*INDEX(Materials!$E:$E,MATCH(G172,Materials!$A:$A,0)))+IF(I172="",0,J172*INDEX(Materials!$E:$E,MATCH(I172,Materials!$A:$A,0)))+IF(K172="",0,L172*INDEX(Materials!$E:$E,MATCH(K172,Materials!$A:$A,0)))</f>
        <v>345.85</v>
      </c>
      <c r="N172" s="23" t="n">
        <v>25</v>
      </c>
      <c r="O172" s="19"/>
      <c r="P172" s="21"/>
      <c r="Q172" s="22" t="n">
        <f aca="false">IF(O172="",0,P172*INDEX(Plant!$D:$D,MATCH(O172,Plant!$A:$A,0)))</f>
        <v>0</v>
      </c>
      <c r="R172" s="24" t="n">
        <f aca="false">F172+M172+N172+Q172</f>
        <v>533.1410025</v>
      </c>
      <c r="S172" s="22" t="n">
        <f aca="false">R172*Settings!$B$4*Settings!$B$9</f>
        <v>533.1410025</v>
      </c>
      <c r="T172" s="24" t="n">
        <f aca="false">S172*(1+Settings!$B$10)</f>
        <v>623.774972925</v>
      </c>
    </row>
    <row r="173" customFormat="false" ht="15" hidden="false" customHeight="false" outlineLevel="0" collapsed="false">
      <c r="A173" s="19" t="s">
        <v>531</v>
      </c>
      <c r="B173" s="20" t="s">
        <v>532</v>
      </c>
      <c r="C173" s="19" t="s">
        <v>108</v>
      </c>
      <c r="D173" s="19" t="s">
        <v>510</v>
      </c>
      <c r="E173" s="21" t="n">
        <v>1.25</v>
      </c>
      <c r="F173" s="22" t="n">
        <f aca="false">IF(D173="",0,E173*INDEX(Gangs!$D:$D,MATCH(D173,Gangs!$A:$A,0)))</f>
        <v>184.42159375</v>
      </c>
      <c r="G173" s="19" t="s">
        <v>529</v>
      </c>
      <c r="H173" s="21" t="n">
        <v>1.05</v>
      </c>
      <c r="I173" s="19" t="s">
        <v>533</v>
      </c>
      <c r="J173" s="21" t="n">
        <v>2.2</v>
      </c>
      <c r="K173" s="19"/>
      <c r="L173" s="21"/>
      <c r="M173" s="22" t="n">
        <f aca="false">IF(G173="",0,H173*INDEX(Materials!$E:$E,MATCH(G173,Materials!$A:$A,0)))+IF(I173="",0,J173*INDEX(Materials!$E:$E,MATCH(I173,Materials!$A:$A,0)))+IF(K173="",0,L173*INDEX(Materials!$E:$E,MATCH(K173,Materials!$A:$A,0)))</f>
        <v>411.85</v>
      </c>
      <c r="N173" s="23" t="n">
        <v>30</v>
      </c>
      <c r="O173" s="19"/>
      <c r="P173" s="21"/>
      <c r="Q173" s="22" t="n">
        <f aca="false">IF(O173="",0,P173*INDEX(Plant!$D:$D,MATCH(O173,Plant!$A:$A,0)))</f>
        <v>0</v>
      </c>
      <c r="R173" s="24" t="n">
        <f aca="false">F173+M173+N173+Q173</f>
        <v>626.27159375</v>
      </c>
      <c r="S173" s="22" t="n">
        <f aca="false">R173*Settings!$B$4*Settings!$B$9</f>
        <v>626.27159375</v>
      </c>
      <c r="T173" s="24" t="n">
        <f aca="false">S173*(1+Settings!$B$10)</f>
        <v>732.7377646875</v>
      </c>
    </row>
    <row r="174" customFormat="false" ht="15" hidden="false" customHeight="false" outlineLevel="0" collapsed="false">
      <c r="A174" s="19" t="s">
        <v>534</v>
      </c>
      <c r="B174" s="20" t="s">
        <v>535</v>
      </c>
      <c r="C174" s="19" t="s">
        <v>108</v>
      </c>
      <c r="D174" s="19" t="s">
        <v>536</v>
      </c>
      <c r="E174" s="21" t="n">
        <v>0.3</v>
      </c>
      <c r="F174" s="22" t="n">
        <f aca="false">IF(D174="",0,E174*INDEX(Gangs!$D:$D,MATCH(D174,Gangs!$A:$A,0)))</f>
        <v>49.83744</v>
      </c>
      <c r="G174" s="19" t="s">
        <v>537</v>
      </c>
      <c r="H174" s="21" t="n">
        <v>0.1</v>
      </c>
      <c r="I174" s="19"/>
      <c r="J174" s="21"/>
      <c r="K174" s="19"/>
      <c r="L174" s="21"/>
      <c r="M174" s="22" t="n">
        <f aca="false">IF(G174="",0,H174*INDEX(Materials!$E:$E,MATCH(G174,Materials!$A:$A,0)))+IF(I174="",0,J174*INDEX(Materials!$E:$E,MATCH(I174,Materials!$A:$A,0)))+IF(K174="",0,L174*INDEX(Materials!$E:$E,MATCH(K174,Materials!$A:$A,0)))</f>
        <v>17.5</v>
      </c>
      <c r="N174" s="23" t="n">
        <v>0</v>
      </c>
      <c r="O174" s="19"/>
      <c r="P174" s="21"/>
      <c r="Q174" s="22" t="n">
        <f aca="false">IF(O174="",0,P174*INDEX(Plant!$D:$D,MATCH(O174,Plant!$A:$A,0)))</f>
        <v>0</v>
      </c>
      <c r="R174" s="24" t="n">
        <f aca="false">F174+M174+N174+Q174</f>
        <v>67.33744</v>
      </c>
      <c r="S174" s="22" t="n">
        <f aca="false">R174*Settings!$B$4*Settings!$B$9</f>
        <v>67.33744</v>
      </c>
      <c r="T174" s="24" t="n">
        <f aca="false">S174*(1+Settings!$B$10)</f>
        <v>78.7848048</v>
      </c>
    </row>
    <row r="175" customFormat="false" ht="15" hidden="false" customHeight="false" outlineLevel="0" collapsed="false">
      <c r="A175" s="19" t="s">
        <v>538</v>
      </c>
      <c r="B175" s="20" t="s">
        <v>539</v>
      </c>
      <c r="C175" s="19" t="s">
        <v>96</v>
      </c>
      <c r="D175" s="19" t="s">
        <v>510</v>
      </c>
      <c r="E175" s="21" t="n">
        <v>0.8</v>
      </c>
      <c r="F175" s="22" t="n">
        <f aca="false">IF(D175="",0,E175*INDEX(Gangs!$D:$D,MATCH(D175,Gangs!$A:$A,0)))</f>
        <v>118.02982</v>
      </c>
      <c r="G175" s="19" t="s">
        <v>540</v>
      </c>
      <c r="H175" s="21" t="n">
        <v>1</v>
      </c>
      <c r="I175" s="19"/>
      <c r="J175" s="21"/>
      <c r="K175" s="19"/>
      <c r="L175" s="21"/>
      <c r="M175" s="22" t="n">
        <f aca="false">IF(G175="",0,H175*INDEX(Materials!$E:$E,MATCH(G175,Materials!$A:$A,0)))+IF(I175="",0,J175*INDEX(Materials!$E:$E,MATCH(I175,Materials!$A:$A,0)))+IF(K175="",0,L175*INDEX(Materials!$E:$E,MATCH(K175,Materials!$A:$A,0)))</f>
        <v>450</v>
      </c>
      <c r="N175" s="23" t="n">
        <v>0</v>
      </c>
      <c r="O175" s="19"/>
      <c r="P175" s="21"/>
      <c r="Q175" s="22" t="n">
        <f aca="false">IF(O175="",0,P175*INDEX(Plant!$D:$D,MATCH(O175,Plant!$A:$A,0)))</f>
        <v>0</v>
      </c>
      <c r="R175" s="24" t="n">
        <f aca="false">F175+M175+N175+Q175</f>
        <v>568.02982</v>
      </c>
      <c r="S175" s="22" t="n">
        <f aca="false">R175*Settings!$B$4*Settings!$B$9</f>
        <v>568.02982</v>
      </c>
      <c r="T175" s="24" t="n">
        <f aca="false">S175*(1+Settings!$B$10)</f>
        <v>664.5948894</v>
      </c>
    </row>
    <row r="176" customFormat="false" ht="15" hidden="false" customHeight="false" outlineLevel="0" collapsed="false">
      <c r="A176" s="19" t="s">
        <v>541</v>
      </c>
      <c r="B176" s="20" t="s">
        <v>542</v>
      </c>
      <c r="C176" s="19" t="s">
        <v>256</v>
      </c>
      <c r="D176" s="19" t="s">
        <v>510</v>
      </c>
      <c r="E176" s="21" t="n">
        <v>0.6</v>
      </c>
      <c r="F176" s="22" t="n">
        <f aca="false">IF(D176="",0,E176*INDEX(Gangs!$D:$D,MATCH(D176,Gangs!$A:$A,0)))</f>
        <v>88.522365</v>
      </c>
      <c r="G176" s="19" t="s">
        <v>514</v>
      </c>
      <c r="H176" s="21" t="n">
        <v>0.8</v>
      </c>
      <c r="I176" s="19" t="s">
        <v>375</v>
      </c>
      <c r="J176" s="21" t="n">
        <v>3</v>
      </c>
      <c r="K176" s="19"/>
      <c r="L176" s="21"/>
      <c r="M176" s="22" t="n">
        <f aca="false">IF(G176="",0,H176*INDEX(Materials!$E:$E,MATCH(G176,Materials!$A:$A,0)))+IF(I176="",0,J176*INDEX(Materials!$E:$E,MATCH(I176,Materials!$A:$A,0)))+IF(K176="",0,L176*INDEX(Materials!$E:$E,MATCH(K176,Materials!$A:$A,0)))</f>
        <v>89.1</v>
      </c>
      <c r="N176" s="23" t="n">
        <v>5</v>
      </c>
      <c r="O176" s="19"/>
      <c r="P176" s="21"/>
      <c r="Q176" s="22" t="n">
        <f aca="false">IF(O176="",0,P176*INDEX(Plant!$D:$D,MATCH(O176,Plant!$A:$A,0)))</f>
        <v>0</v>
      </c>
      <c r="R176" s="24" t="n">
        <f aca="false">F176+M176+N176+Q176</f>
        <v>182.622365</v>
      </c>
      <c r="S176" s="22" t="n">
        <f aca="false">R176*Settings!$B$4*Settings!$B$9</f>
        <v>182.622365</v>
      </c>
      <c r="T176" s="24" t="n">
        <f aca="false">S176*(1+Settings!$B$10)</f>
        <v>213.66816705</v>
      </c>
    </row>
    <row r="177" customFormat="false" ht="15" hidden="false" customHeight="false" outlineLevel="0" collapsed="false">
      <c r="A177" s="17" t="s">
        <v>543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customFormat="false" ht="15" hidden="false" customHeight="false" outlineLevel="0" collapsed="false">
      <c r="A178" s="19" t="s">
        <v>544</v>
      </c>
      <c r="B178" s="20" t="s">
        <v>545</v>
      </c>
      <c r="C178" s="19" t="s">
        <v>108</v>
      </c>
      <c r="D178" s="19" t="s">
        <v>236</v>
      </c>
      <c r="E178" s="21" t="n">
        <v>0.3</v>
      </c>
      <c r="F178" s="22" t="n">
        <f aca="false">IF(D178="",0,E178*INDEX(Gangs!$D:$D,MATCH(D178,Gangs!$A:$A,0)))</f>
        <v>49.83744</v>
      </c>
      <c r="G178" s="19" t="s">
        <v>546</v>
      </c>
      <c r="H178" s="21" t="n">
        <v>0.042</v>
      </c>
      <c r="I178" s="19"/>
      <c r="J178" s="21"/>
      <c r="K178" s="19"/>
      <c r="L178" s="21"/>
      <c r="M178" s="22" t="n">
        <f aca="false">IF(G178="",0,H178*INDEX(Materials!$E:$E,MATCH(G178,Materials!$A:$A,0)))+IF(I178="",0,J178*INDEX(Materials!$E:$E,MATCH(I178,Materials!$A:$A,0)))+IF(K178="",0,L178*INDEX(Materials!$E:$E,MATCH(K178,Materials!$A:$A,0)))</f>
        <v>55.104</v>
      </c>
      <c r="N178" s="23" t="n">
        <v>5</v>
      </c>
      <c r="O178" s="19"/>
      <c r="P178" s="21"/>
      <c r="Q178" s="22" t="n">
        <f aca="false">IF(O178="",0,P178*INDEX(Plant!$D:$D,MATCH(O178,Plant!$A:$A,0)))</f>
        <v>0</v>
      </c>
      <c r="R178" s="24" t="n">
        <f aca="false">F178+M178+N178+Q178</f>
        <v>109.94144</v>
      </c>
      <c r="S178" s="22" t="n">
        <f aca="false">R178*Settings!$B$4*Settings!$B$9</f>
        <v>109.94144</v>
      </c>
      <c r="T178" s="24" t="n">
        <f aca="false">S178*(1+Settings!$B$10)</f>
        <v>128.6314848</v>
      </c>
    </row>
    <row r="179" customFormat="false" ht="15" hidden="false" customHeight="false" outlineLevel="0" collapsed="false">
      <c r="A179" s="19" t="s">
        <v>547</v>
      </c>
      <c r="B179" s="20" t="s">
        <v>548</v>
      </c>
      <c r="C179" s="19" t="s">
        <v>108</v>
      </c>
      <c r="D179" s="19" t="s">
        <v>236</v>
      </c>
      <c r="E179" s="21" t="n">
        <v>0.4</v>
      </c>
      <c r="F179" s="22" t="n">
        <f aca="false">IF(D179="",0,E179*INDEX(Gangs!$D:$D,MATCH(D179,Gangs!$A:$A,0)))</f>
        <v>66.44992</v>
      </c>
      <c r="G179" s="19" t="s">
        <v>546</v>
      </c>
      <c r="H179" s="21" t="n">
        <v>0.08</v>
      </c>
      <c r="I179" s="19"/>
      <c r="J179" s="21"/>
      <c r="K179" s="19"/>
      <c r="L179" s="21"/>
      <c r="M179" s="22" t="n">
        <f aca="false">IF(G179="",0,H179*INDEX(Materials!$E:$E,MATCH(G179,Materials!$A:$A,0)))+IF(I179="",0,J179*INDEX(Materials!$E:$E,MATCH(I179,Materials!$A:$A,0)))+IF(K179="",0,L179*INDEX(Materials!$E:$E,MATCH(K179,Materials!$A:$A,0)))</f>
        <v>104.96</v>
      </c>
      <c r="N179" s="23" t="n">
        <v>5</v>
      </c>
      <c r="O179" s="19"/>
      <c r="P179" s="21"/>
      <c r="Q179" s="22" t="n">
        <f aca="false">IF(O179="",0,P179*INDEX(Plant!$D:$D,MATCH(O179,Plant!$A:$A,0)))</f>
        <v>0</v>
      </c>
      <c r="R179" s="24" t="n">
        <f aca="false">F179+M179+N179+Q179</f>
        <v>176.40992</v>
      </c>
      <c r="S179" s="22" t="n">
        <f aca="false">R179*Settings!$B$4*Settings!$B$9</f>
        <v>176.40992</v>
      </c>
      <c r="T179" s="24" t="n">
        <f aca="false">S179*(1+Settings!$B$10)</f>
        <v>206.3996064</v>
      </c>
    </row>
    <row r="180" customFormat="false" ht="15" hidden="false" customHeight="false" outlineLevel="0" collapsed="false">
      <c r="A180" s="19" t="s">
        <v>549</v>
      </c>
      <c r="B180" s="20" t="s">
        <v>550</v>
      </c>
      <c r="C180" s="19" t="s">
        <v>108</v>
      </c>
      <c r="D180" s="19" t="s">
        <v>236</v>
      </c>
      <c r="E180" s="21" t="n">
        <v>0.15</v>
      </c>
      <c r="F180" s="22" t="n">
        <f aca="false">IF(D180="",0,E180*INDEX(Gangs!$D:$D,MATCH(D180,Gangs!$A:$A,0)))</f>
        <v>24.91872</v>
      </c>
      <c r="G180" s="19" t="s">
        <v>551</v>
      </c>
      <c r="H180" s="21" t="n">
        <v>1</v>
      </c>
      <c r="I180" s="19"/>
      <c r="J180" s="21"/>
      <c r="K180" s="19"/>
      <c r="L180" s="21"/>
      <c r="M180" s="22" t="n">
        <f aca="false">IF(G180="",0,H180*INDEX(Materials!$E:$E,MATCH(G180,Materials!$A:$A,0)))+IF(I180="",0,J180*INDEX(Materials!$E:$E,MATCH(I180,Materials!$A:$A,0)))+IF(K180="",0,L180*INDEX(Materials!$E:$E,MATCH(K180,Materials!$A:$A,0)))</f>
        <v>95</v>
      </c>
      <c r="N180" s="23" t="n">
        <v>0</v>
      </c>
      <c r="O180" s="19"/>
      <c r="P180" s="21"/>
      <c r="Q180" s="22" t="n">
        <f aca="false">IF(O180="",0,P180*INDEX(Plant!$D:$D,MATCH(O180,Plant!$A:$A,0)))</f>
        <v>0</v>
      </c>
      <c r="R180" s="24" t="n">
        <f aca="false">F180+M180+N180+Q180</f>
        <v>119.91872</v>
      </c>
      <c r="S180" s="22" t="n">
        <f aca="false">R180*Settings!$B$4*Settings!$B$9</f>
        <v>119.91872</v>
      </c>
      <c r="T180" s="24" t="n">
        <f aca="false">S180*(1+Settings!$B$10)</f>
        <v>140.3049024</v>
      </c>
    </row>
    <row r="181" customFormat="false" ht="15" hidden="false" customHeight="false" outlineLevel="0" collapsed="false">
      <c r="A181" s="19" t="s">
        <v>552</v>
      </c>
      <c r="B181" s="20" t="s">
        <v>553</v>
      </c>
      <c r="C181" s="19" t="s">
        <v>108</v>
      </c>
      <c r="D181" s="19" t="s">
        <v>554</v>
      </c>
      <c r="E181" s="21" t="n">
        <v>0.25</v>
      </c>
      <c r="F181" s="22" t="n">
        <f aca="false">IF(D181="",0,E181*INDEX(Gangs!$D:$D,MATCH(D181,Gangs!$A:$A,0)))</f>
        <v>34.89256875</v>
      </c>
      <c r="G181" s="19" t="s">
        <v>555</v>
      </c>
      <c r="H181" s="21" t="n">
        <v>1.08</v>
      </c>
      <c r="I181" s="19"/>
      <c r="J181" s="21"/>
      <c r="K181" s="19"/>
      <c r="L181" s="21"/>
      <c r="M181" s="22" t="n">
        <f aca="false">IF(G181="",0,H181*INDEX(Materials!$E:$E,MATCH(G181,Materials!$A:$A,0)))+IF(I181="",0,J181*INDEX(Materials!$E:$E,MATCH(I181,Materials!$A:$A,0)))+IF(K181="",0,L181*INDEX(Materials!$E:$E,MATCH(K181,Materials!$A:$A,0)))</f>
        <v>313.2</v>
      </c>
      <c r="N181" s="23" t="n">
        <v>0</v>
      </c>
      <c r="O181" s="19"/>
      <c r="P181" s="21"/>
      <c r="Q181" s="22" t="n">
        <f aca="false">IF(O181="",0,P181*INDEX(Plant!$D:$D,MATCH(O181,Plant!$A:$A,0)))</f>
        <v>0</v>
      </c>
      <c r="R181" s="24" t="n">
        <f aca="false">F181+M181+N181+Q181</f>
        <v>348.09256875</v>
      </c>
      <c r="S181" s="22" t="n">
        <f aca="false">R181*Settings!$B$4*Settings!$B$9</f>
        <v>348.09256875</v>
      </c>
      <c r="T181" s="24" t="n">
        <f aca="false">S181*(1+Settings!$B$10)</f>
        <v>407.2683054375</v>
      </c>
    </row>
    <row r="182" customFormat="false" ht="15" hidden="false" customHeight="false" outlineLevel="0" collapsed="false">
      <c r="A182" s="19" t="s">
        <v>556</v>
      </c>
      <c r="B182" s="20" t="s">
        <v>557</v>
      </c>
      <c r="C182" s="19" t="s">
        <v>108</v>
      </c>
      <c r="D182" s="19" t="s">
        <v>554</v>
      </c>
      <c r="E182" s="21" t="n">
        <v>0.2</v>
      </c>
      <c r="F182" s="22" t="n">
        <f aca="false">IF(D182="",0,E182*INDEX(Gangs!$D:$D,MATCH(D182,Gangs!$A:$A,0)))</f>
        <v>27.914055</v>
      </c>
      <c r="G182" s="19" t="s">
        <v>558</v>
      </c>
      <c r="H182" s="21" t="n">
        <v>1.05</v>
      </c>
      <c r="I182" s="19"/>
      <c r="J182" s="21"/>
      <c r="K182" s="19"/>
      <c r="L182" s="21"/>
      <c r="M182" s="22" t="n">
        <f aca="false">IF(G182="",0,H182*INDEX(Materials!$E:$E,MATCH(G182,Materials!$A:$A,0)))+IF(I182="",0,J182*INDEX(Materials!$E:$E,MATCH(I182,Materials!$A:$A,0)))+IF(K182="",0,L182*INDEX(Materials!$E:$E,MATCH(K182,Materials!$A:$A,0)))</f>
        <v>273</v>
      </c>
      <c r="N182" s="23" t="n">
        <v>8</v>
      </c>
      <c r="O182" s="19"/>
      <c r="P182" s="21"/>
      <c r="Q182" s="22" t="n">
        <f aca="false">IF(O182="",0,P182*INDEX(Plant!$D:$D,MATCH(O182,Plant!$A:$A,0)))</f>
        <v>0</v>
      </c>
      <c r="R182" s="24" t="n">
        <f aca="false">F182+M182+N182+Q182</f>
        <v>308.914055</v>
      </c>
      <c r="S182" s="22" t="n">
        <f aca="false">R182*Settings!$B$4*Settings!$B$9</f>
        <v>308.914055</v>
      </c>
      <c r="T182" s="24" t="n">
        <f aca="false">S182*(1+Settings!$B$10)</f>
        <v>361.42944435</v>
      </c>
    </row>
    <row r="183" customFormat="false" ht="15" hidden="false" customHeight="false" outlineLevel="0" collapsed="false">
      <c r="A183" s="19" t="s">
        <v>559</v>
      </c>
      <c r="B183" s="20" t="s">
        <v>560</v>
      </c>
      <c r="C183" s="19" t="s">
        <v>108</v>
      </c>
      <c r="D183" s="19" t="s">
        <v>554</v>
      </c>
      <c r="E183" s="21" t="n">
        <v>0.25</v>
      </c>
      <c r="F183" s="22" t="n">
        <f aca="false">IF(D183="",0,E183*INDEX(Gangs!$D:$D,MATCH(D183,Gangs!$A:$A,0)))</f>
        <v>34.89256875</v>
      </c>
      <c r="G183" s="19" t="s">
        <v>561</v>
      </c>
      <c r="H183" s="21" t="n">
        <v>1.1</v>
      </c>
      <c r="I183" s="19"/>
      <c r="J183" s="21"/>
      <c r="K183" s="19"/>
      <c r="L183" s="21"/>
      <c r="M183" s="22" t="n">
        <f aca="false">IF(G183="",0,H183*INDEX(Materials!$E:$E,MATCH(G183,Materials!$A:$A,0)))+IF(I183="",0,J183*INDEX(Materials!$E:$E,MATCH(I183,Materials!$A:$A,0)))+IF(K183="",0,L183*INDEX(Materials!$E:$E,MATCH(K183,Materials!$A:$A,0)))</f>
        <v>264</v>
      </c>
      <c r="N183" s="23" t="n">
        <v>6</v>
      </c>
      <c r="O183" s="19"/>
      <c r="P183" s="21"/>
      <c r="Q183" s="22" t="n">
        <f aca="false">IF(O183="",0,P183*INDEX(Plant!$D:$D,MATCH(O183,Plant!$A:$A,0)))</f>
        <v>0</v>
      </c>
      <c r="R183" s="24" t="n">
        <f aca="false">F183+M183+N183+Q183</f>
        <v>304.89256875</v>
      </c>
      <c r="S183" s="22" t="n">
        <f aca="false">R183*Settings!$B$4*Settings!$B$9</f>
        <v>304.89256875</v>
      </c>
      <c r="T183" s="24" t="n">
        <f aca="false">S183*(1+Settings!$B$10)</f>
        <v>356.7243054375</v>
      </c>
    </row>
    <row r="184" customFormat="false" ht="15" hidden="false" customHeight="false" outlineLevel="0" collapsed="false">
      <c r="A184" s="19" t="s">
        <v>562</v>
      </c>
      <c r="B184" s="20" t="s">
        <v>563</v>
      </c>
      <c r="C184" s="19" t="s">
        <v>108</v>
      </c>
      <c r="D184" s="19" t="s">
        <v>554</v>
      </c>
      <c r="E184" s="21" t="n">
        <v>0.3</v>
      </c>
      <c r="F184" s="22" t="n">
        <f aca="false">IF(D184="",0,E184*INDEX(Gangs!$D:$D,MATCH(D184,Gangs!$A:$A,0)))</f>
        <v>41.8710825</v>
      </c>
      <c r="G184" s="19" t="s">
        <v>564</v>
      </c>
      <c r="H184" s="21" t="n">
        <v>1.08</v>
      </c>
      <c r="I184" s="19" t="s">
        <v>565</v>
      </c>
      <c r="J184" s="21" t="n">
        <v>1.05</v>
      </c>
      <c r="K184" s="19"/>
      <c r="L184" s="21"/>
      <c r="M184" s="22" t="n">
        <f aca="false">IF(G184="",0,H184*INDEX(Materials!$E:$E,MATCH(G184,Materials!$A:$A,0)))+IF(I184="",0,J184*INDEX(Materials!$E:$E,MATCH(I184,Materials!$A:$A,0)))+IF(K184="",0,L184*INDEX(Materials!$E:$E,MATCH(K184,Materials!$A:$A,0)))</f>
        <v>271.5</v>
      </c>
      <c r="N184" s="23" t="n">
        <v>0</v>
      </c>
      <c r="O184" s="19"/>
      <c r="P184" s="21"/>
      <c r="Q184" s="22" t="n">
        <f aca="false">IF(O184="",0,P184*INDEX(Plant!$D:$D,MATCH(O184,Plant!$A:$A,0)))</f>
        <v>0</v>
      </c>
      <c r="R184" s="24" t="n">
        <f aca="false">F184+M184+N184+Q184</f>
        <v>313.3710825</v>
      </c>
      <c r="S184" s="22" t="n">
        <f aca="false">R184*Settings!$B$4*Settings!$B$9</f>
        <v>313.3710825</v>
      </c>
      <c r="T184" s="24" t="n">
        <f aca="false">S184*(1+Settings!$B$10)</f>
        <v>366.644166525</v>
      </c>
    </row>
    <row r="185" customFormat="false" ht="15" hidden="false" customHeight="false" outlineLevel="0" collapsed="false">
      <c r="A185" s="19" t="s">
        <v>566</v>
      </c>
      <c r="B185" s="20" t="s">
        <v>567</v>
      </c>
      <c r="C185" s="19" t="s">
        <v>108</v>
      </c>
      <c r="D185" s="19" t="s">
        <v>554</v>
      </c>
      <c r="E185" s="21" t="n">
        <v>0.45</v>
      </c>
      <c r="F185" s="22" t="n">
        <f aca="false">IF(D185="",0,E185*INDEX(Gangs!$D:$D,MATCH(D185,Gangs!$A:$A,0)))</f>
        <v>62.80662375</v>
      </c>
      <c r="G185" s="19" t="s">
        <v>568</v>
      </c>
      <c r="H185" s="21" t="n">
        <v>1.08</v>
      </c>
      <c r="I185" s="19"/>
      <c r="J185" s="21"/>
      <c r="K185" s="19"/>
      <c r="L185" s="21"/>
      <c r="M185" s="22" t="n">
        <f aca="false">IF(G185="",0,H185*INDEX(Materials!$E:$E,MATCH(G185,Materials!$A:$A,0)))+IF(I185="",0,J185*INDEX(Materials!$E:$E,MATCH(I185,Materials!$A:$A,0)))+IF(K185="",0,L185*INDEX(Materials!$E:$E,MATCH(K185,Materials!$A:$A,0)))</f>
        <v>777.6</v>
      </c>
      <c r="N185" s="23" t="n">
        <v>40</v>
      </c>
      <c r="O185" s="19"/>
      <c r="P185" s="21"/>
      <c r="Q185" s="22" t="n">
        <f aca="false">IF(O185="",0,P185*INDEX(Plant!$D:$D,MATCH(O185,Plant!$A:$A,0)))</f>
        <v>0</v>
      </c>
      <c r="R185" s="24" t="n">
        <f aca="false">F185+M185+N185+Q185</f>
        <v>880.40662375</v>
      </c>
      <c r="S185" s="22" t="n">
        <f aca="false">R185*Settings!$B$4*Settings!$B$9</f>
        <v>880.40662375</v>
      </c>
      <c r="T185" s="24" t="n">
        <f aca="false">S185*(1+Settings!$B$10)</f>
        <v>1030.0757497875</v>
      </c>
    </row>
    <row r="186" customFormat="false" ht="15" hidden="false" customHeight="false" outlineLevel="0" collapsed="false">
      <c r="A186" s="19" t="s">
        <v>569</v>
      </c>
      <c r="B186" s="20" t="s">
        <v>570</v>
      </c>
      <c r="C186" s="19" t="s">
        <v>108</v>
      </c>
      <c r="D186" s="19" t="s">
        <v>571</v>
      </c>
      <c r="E186" s="21" t="n">
        <v>0.25</v>
      </c>
      <c r="F186" s="22" t="n">
        <f aca="false">IF(D186="",0,E186*INDEX(Gangs!$D:$D,MATCH(D186,Gangs!$A:$A,0)))</f>
        <v>20.72705</v>
      </c>
      <c r="G186" s="19" t="s">
        <v>572</v>
      </c>
      <c r="H186" s="21" t="n">
        <v>1</v>
      </c>
      <c r="I186" s="19"/>
      <c r="J186" s="21"/>
      <c r="K186" s="19"/>
      <c r="L186" s="21"/>
      <c r="M186" s="22" t="n">
        <f aca="false">IF(G186="",0,H186*INDEX(Materials!$E:$E,MATCH(G186,Materials!$A:$A,0)))+IF(I186="",0,J186*INDEX(Materials!$E:$E,MATCH(I186,Materials!$A:$A,0)))+IF(K186="",0,L186*INDEX(Materials!$E:$E,MATCH(K186,Materials!$A:$A,0)))</f>
        <v>165</v>
      </c>
      <c r="N186" s="23" t="n">
        <v>0</v>
      </c>
      <c r="O186" s="19"/>
      <c r="P186" s="21"/>
      <c r="Q186" s="22" t="n">
        <f aca="false">IF(O186="",0,P186*INDEX(Plant!$D:$D,MATCH(O186,Plant!$A:$A,0)))</f>
        <v>0</v>
      </c>
      <c r="R186" s="24" t="n">
        <f aca="false">F186+M186+N186+Q186</f>
        <v>185.72705</v>
      </c>
      <c r="S186" s="22" t="n">
        <f aca="false">R186*Settings!$B$4*Settings!$B$9</f>
        <v>185.72705</v>
      </c>
      <c r="T186" s="24" t="n">
        <f aca="false">S186*(1+Settings!$B$10)</f>
        <v>217.3006485</v>
      </c>
    </row>
    <row r="187" customFormat="false" ht="15" hidden="false" customHeight="false" outlineLevel="0" collapsed="false">
      <c r="A187" s="19" t="s">
        <v>573</v>
      </c>
      <c r="B187" s="20" t="s">
        <v>574</v>
      </c>
      <c r="C187" s="19" t="s">
        <v>108</v>
      </c>
      <c r="D187" s="19" t="s">
        <v>236</v>
      </c>
      <c r="E187" s="21" t="n">
        <v>0.35</v>
      </c>
      <c r="F187" s="22" t="n">
        <f aca="false">IF(D187="",0,E187*INDEX(Gangs!$D:$D,MATCH(D187,Gangs!$A:$A,0)))</f>
        <v>58.14368</v>
      </c>
      <c r="G187" s="19"/>
      <c r="H187" s="21"/>
      <c r="I187" s="19"/>
      <c r="J187" s="21"/>
      <c r="K187" s="19"/>
      <c r="L187" s="21"/>
      <c r="M187" s="22" t="n">
        <f aca="false">IF(G187="",0,H187*INDEX(Materials!$E:$E,MATCH(G187,Materials!$A:$A,0)))+IF(I187="",0,J187*INDEX(Materials!$E:$E,MATCH(I187,Materials!$A:$A,0)))+IF(K187="",0,L187*INDEX(Materials!$E:$E,MATCH(K187,Materials!$A:$A,0)))</f>
        <v>0</v>
      </c>
      <c r="N187" s="23" t="n">
        <v>45</v>
      </c>
      <c r="O187" s="19" t="s">
        <v>575</v>
      </c>
      <c r="P187" s="21" t="n">
        <v>0.02</v>
      </c>
      <c r="Q187" s="22" t="n">
        <f aca="false">IF(O187="",0,P187*INDEX(Plant!$D:$D,MATCH(O187,Plant!$A:$A,0)))</f>
        <v>24</v>
      </c>
      <c r="R187" s="24" t="n">
        <f aca="false">F187+M187+N187+Q187</f>
        <v>127.14368</v>
      </c>
      <c r="S187" s="22" t="n">
        <f aca="false">R187*Settings!$B$4*Settings!$B$9</f>
        <v>127.14368</v>
      </c>
      <c r="T187" s="24" t="n">
        <f aca="false">S187*(1+Settings!$B$10)</f>
        <v>148.7581056</v>
      </c>
    </row>
    <row r="188" customFormat="false" ht="15" hidden="false" customHeight="false" outlineLevel="0" collapsed="false">
      <c r="A188" s="17" t="s">
        <v>576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</row>
    <row r="189" customFormat="false" ht="15" hidden="false" customHeight="false" outlineLevel="0" collapsed="false">
      <c r="A189" s="19" t="s">
        <v>577</v>
      </c>
      <c r="B189" s="20" t="s">
        <v>578</v>
      </c>
      <c r="C189" s="19" t="s">
        <v>108</v>
      </c>
      <c r="D189" s="19" t="s">
        <v>554</v>
      </c>
      <c r="E189" s="21" t="n">
        <v>0.8</v>
      </c>
      <c r="F189" s="22" t="n">
        <f aca="false">IF(D189="",0,E189*INDEX(Gangs!$D:$D,MATCH(D189,Gangs!$A:$A,0)))</f>
        <v>111.65622</v>
      </c>
      <c r="G189" s="19" t="s">
        <v>579</v>
      </c>
      <c r="H189" s="21" t="n">
        <v>1.1</v>
      </c>
      <c r="I189" s="19" t="s">
        <v>580</v>
      </c>
      <c r="J189" s="21" t="n">
        <v>0.25</v>
      </c>
      <c r="K189" s="19" t="s">
        <v>581</v>
      </c>
      <c r="L189" s="21" t="n">
        <v>0.1</v>
      </c>
      <c r="M189" s="22" t="n">
        <f aca="false">IF(G189="",0,H189*INDEX(Materials!$E:$E,MATCH(G189,Materials!$A:$A,0)))+IF(I189="",0,J189*INDEX(Materials!$E:$E,MATCH(I189,Materials!$A:$A,0)))+IF(K189="",0,L189*INDEX(Materials!$E:$E,MATCH(K189,Materials!$A:$A,0)))</f>
        <v>243.75</v>
      </c>
      <c r="N189" s="23" t="n">
        <v>0</v>
      </c>
      <c r="O189" s="19"/>
      <c r="P189" s="21"/>
      <c r="Q189" s="22" t="n">
        <f aca="false">IF(O189="",0,P189*INDEX(Plant!$D:$D,MATCH(O189,Plant!$A:$A,0)))</f>
        <v>0</v>
      </c>
      <c r="R189" s="24" t="n">
        <f aca="false">F189+M189+N189+Q189</f>
        <v>355.40622</v>
      </c>
      <c r="S189" s="22" t="n">
        <f aca="false">R189*Settings!$B$4*Settings!$B$9</f>
        <v>355.40622</v>
      </c>
      <c r="T189" s="24" t="n">
        <f aca="false">S189*(1+Settings!$B$10)</f>
        <v>415.8252774</v>
      </c>
    </row>
    <row r="190" customFormat="false" ht="15" hidden="false" customHeight="false" outlineLevel="0" collapsed="false">
      <c r="A190" s="19" t="s">
        <v>582</v>
      </c>
      <c r="B190" s="20" t="s">
        <v>583</v>
      </c>
      <c r="C190" s="19" t="s">
        <v>108</v>
      </c>
      <c r="D190" s="19" t="s">
        <v>554</v>
      </c>
      <c r="E190" s="21" t="n">
        <v>1</v>
      </c>
      <c r="F190" s="22" t="n">
        <f aca="false">IF(D190="",0,E190*INDEX(Gangs!$D:$D,MATCH(D190,Gangs!$A:$A,0)))</f>
        <v>139.570275</v>
      </c>
      <c r="G190" s="19" t="s">
        <v>584</v>
      </c>
      <c r="H190" s="21" t="n">
        <v>1.1</v>
      </c>
      <c r="I190" s="19" t="s">
        <v>580</v>
      </c>
      <c r="J190" s="21" t="n">
        <v>0.3</v>
      </c>
      <c r="K190" s="19" t="s">
        <v>581</v>
      </c>
      <c r="L190" s="21" t="n">
        <v>0.08</v>
      </c>
      <c r="M190" s="22" t="n">
        <f aca="false">IF(G190="",0,H190*INDEX(Materials!$E:$E,MATCH(G190,Materials!$A:$A,0)))+IF(I190="",0,J190*INDEX(Materials!$E:$E,MATCH(I190,Materials!$A:$A,0)))+IF(K190="",0,L190*INDEX(Materials!$E:$E,MATCH(K190,Materials!$A:$A,0)))</f>
        <v>403.1</v>
      </c>
      <c r="N190" s="23" t="n">
        <v>0</v>
      </c>
      <c r="O190" s="19"/>
      <c r="P190" s="21"/>
      <c r="Q190" s="22" t="n">
        <f aca="false">IF(O190="",0,P190*INDEX(Plant!$D:$D,MATCH(O190,Plant!$A:$A,0)))</f>
        <v>0</v>
      </c>
      <c r="R190" s="24" t="n">
        <f aca="false">F190+M190+N190+Q190</f>
        <v>542.670275</v>
      </c>
      <c r="S190" s="22" t="n">
        <f aca="false">R190*Settings!$B$4*Settings!$B$9</f>
        <v>542.670275</v>
      </c>
      <c r="T190" s="24" t="n">
        <f aca="false">S190*(1+Settings!$B$10)</f>
        <v>634.92422175</v>
      </c>
    </row>
    <row r="191" customFormat="false" ht="15" hidden="false" customHeight="false" outlineLevel="0" collapsed="false">
      <c r="A191" s="19" t="s">
        <v>585</v>
      </c>
      <c r="B191" s="20" t="s">
        <v>586</v>
      </c>
      <c r="C191" s="19" t="s">
        <v>108</v>
      </c>
      <c r="D191" s="19" t="s">
        <v>554</v>
      </c>
      <c r="E191" s="21" t="n">
        <v>1</v>
      </c>
      <c r="F191" s="22" t="n">
        <f aca="false">IF(D191="",0,E191*INDEX(Gangs!$D:$D,MATCH(D191,Gangs!$A:$A,0)))</f>
        <v>139.570275</v>
      </c>
      <c r="G191" s="19" t="s">
        <v>587</v>
      </c>
      <c r="H191" s="21" t="n">
        <v>1.1</v>
      </c>
      <c r="I191" s="19" t="s">
        <v>580</v>
      </c>
      <c r="J191" s="21" t="n">
        <v>0.25</v>
      </c>
      <c r="K191" s="19" t="s">
        <v>581</v>
      </c>
      <c r="L191" s="21" t="n">
        <v>0.1</v>
      </c>
      <c r="M191" s="22" t="n">
        <f aca="false">IF(G191="",0,H191*INDEX(Materials!$E:$E,MATCH(G191,Materials!$A:$A,0)))+IF(I191="",0,J191*INDEX(Materials!$E:$E,MATCH(I191,Materials!$A:$A,0)))+IF(K191="",0,L191*INDEX(Materials!$E:$E,MATCH(K191,Materials!$A:$A,0)))</f>
        <v>227.25</v>
      </c>
      <c r="N191" s="23" t="n">
        <v>0</v>
      </c>
      <c r="O191" s="19"/>
      <c r="P191" s="21"/>
      <c r="Q191" s="22" t="n">
        <f aca="false">IF(O191="",0,P191*INDEX(Plant!$D:$D,MATCH(O191,Plant!$A:$A,0)))</f>
        <v>0</v>
      </c>
      <c r="R191" s="24" t="n">
        <f aca="false">F191+M191+N191+Q191</f>
        <v>366.820275</v>
      </c>
      <c r="S191" s="22" t="n">
        <f aca="false">R191*Settings!$B$4*Settings!$B$9</f>
        <v>366.820275</v>
      </c>
      <c r="T191" s="24" t="n">
        <f aca="false">S191*(1+Settings!$B$10)</f>
        <v>429.17972175</v>
      </c>
    </row>
    <row r="192" customFormat="false" ht="15" hidden="false" customHeight="false" outlineLevel="0" collapsed="false">
      <c r="A192" s="19" t="s">
        <v>588</v>
      </c>
      <c r="B192" s="20" t="s">
        <v>589</v>
      </c>
      <c r="C192" s="19" t="s">
        <v>108</v>
      </c>
      <c r="D192" s="19" t="s">
        <v>554</v>
      </c>
      <c r="E192" s="21" t="n">
        <v>1.3</v>
      </c>
      <c r="F192" s="22" t="n">
        <f aca="false">IF(D192="",0,E192*INDEX(Gangs!$D:$D,MATCH(D192,Gangs!$A:$A,0)))</f>
        <v>181.4413575</v>
      </c>
      <c r="G192" s="19" t="s">
        <v>590</v>
      </c>
      <c r="H192" s="21" t="n">
        <v>1.1</v>
      </c>
      <c r="I192" s="19" t="s">
        <v>580</v>
      </c>
      <c r="J192" s="21" t="n">
        <v>0.35</v>
      </c>
      <c r="K192" s="19" t="s">
        <v>581</v>
      </c>
      <c r="L192" s="21" t="n">
        <v>0.06</v>
      </c>
      <c r="M192" s="22" t="n">
        <f aca="false">IF(G192="",0,H192*INDEX(Materials!$E:$E,MATCH(G192,Materials!$A:$A,0)))+IF(I192="",0,J192*INDEX(Materials!$E:$E,MATCH(I192,Materials!$A:$A,0)))+IF(K192="",0,L192*INDEX(Materials!$E:$E,MATCH(K192,Materials!$A:$A,0)))</f>
        <v>584.45</v>
      </c>
      <c r="N192" s="23" t="n">
        <v>0</v>
      </c>
      <c r="O192" s="19"/>
      <c r="P192" s="21"/>
      <c r="Q192" s="22" t="n">
        <f aca="false">IF(O192="",0,P192*INDEX(Plant!$D:$D,MATCH(O192,Plant!$A:$A,0)))</f>
        <v>0</v>
      </c>
      <c r="R192" s="24" t="n">
        <f aca="false">F192+M192+N192+Q192</f>
        <v>765.8913575</v>
      </c>
      <c r="S192" s="22" t="n">
        <f aca="false">R192*Settings!$B$4*Settings!$B$9</f>
        <v>765.8913575</v>
      </c>
      <c r="T192" s="24" t="n">
        <f aca="false">S192*(1+Settings!$B$10)</f>
        <v>896.092888275</v>
      </c>
    </row>
    <row r="193" customFormat="false" ht="15" hidden="false" customHeight="false" outlineLevel="0" collapsed="false">
      <c r="A193" s="19" t="s">
        <v>591</v>
      </c>
      <c r="B193" s="20" t="s">
        <v>592</v>
      </c>
      <c r="C193" s="19" t="s">
        <v>256</v>
      </c>
      <c r="D193" s="19" t="s">
        <v>554</v>
      </c>
      <c r="E193" s="21" t="n">
        <v>0.25</v>
      </c>
      <c r="F193" s="22" t="n">
        <f aca="false">IF(D193="",0,E193*INDEX(Gangs!$D:$D,MATCH(D193,Gangs!$A:$A,0)))</f>
        <v>34.89256875</v>
      </c>
      <c r="G193" s="19" t="s">
        <v>579</v>
      </c>
      <c r="H193" s="21" t="n">
        <v>0.11</v>
      </c>
      <c r="I193" s="19" t="s">
        <v>580</v>
      </c>
      <c r="J193" s="21" t="n">
        <v>0.02</v>
      </c>
      <c r="K193" s="19"/>
      <c r="L193" s="21"/>
      <c r="M193" s="22" t="n">
        <f aca="false">IF(G193="",0,H193*INDEX(Materials!$E:$E,MATCH(G193,Materials!$A:$A,0)))+IF(I193="",0,J193*INDEX(Materials!$E:$E,MATCH(I193,Materials!$A:$A,0)))+IF(K193="",0,L193*INDEX(Materials!$E:$E,MATCH(K193,Materials!$A:$A,0)))</f>
        <v>22.7</v>
      </c>
      <c r="N193" s="23" t="n">
        <v>0</v>
      </c>
      <c r="O193" s="19"/>
      <c r="P193" s="21"/>
      <c r="Q193" s="22" t="n">
        <f aca="false">IF(O193="",0,P193*INDEX(Plant!$D:$D,MATCH(O193,Plant!$A:$A,0)))</f>
        <v>0</v>
      </c>
      <c r="R193" s="24" t="n">
        <f aca="false">F193+M193+N193+Q193</f>
        <v>57.59256875</v>
      </c>
      <c r="S193" s="22" t="n">
        <f aca="false">R193*Settings!$B$4*Settings!$B$9</f>
        <v>57.59256875</v>
      </c>
      <c r="T193" s="24" t="n">
        <f aca="false">S193*(1+Settings!$B$10)</f>
        <v>67.3833054375</v>
      </c>
    </row>
    <row r="194" customFormat="false" ht="15" hidden="false" customHeight="false" outlineLevel="0" collapsed="false">
      <c r="A194" s="19" t="s">
        <v>593</v>
      </c>
      <c r="B194" s="20" t="s">
        <v>594</v>
      </c>
      <c r="C194" s="19" t="s">
        <v>256</v>
      </c>
      <c r="D194" s="19" t="s">
        <v>554</v>
      </c>
      <c r="E194" s="21" t="n">
        <v>0.15</v>
      </c>
      <c r="F194" s="22" t="n">
        <f aca="false">IF(D194="",0,E194*INDEX(Gangs!$D:$D,MATCH(D194,Gangs!$A:$A,0)))</f>
        <v>20.93554125</v>
      </c>
      <c r="G194" s="19" t="s">
        <v>595</v>
      </c>
      <c r="H194" s="21" t="n">
        <v>1.05</v>
      </c>
      <c r="I194" s="19"/>
      <c r="J194" s="21"/>
      <c r="K194" s="19"/>
      <c r="L194" s="21"/>
      <c r="M194" s="22" t="n">
        <f aca="false">IF(G194="",0,H194*INDEX(Materials!$E:$E,MATCH(G194,Materials!$A:$A,0)))+IF(I194="",0,J194*INDEX(Materials!$E:$E,MATCH(I194,Materials!$A:$A,0)))+IF(K194="",0,L194*INDEX(Materials!$E:$E,MATCH(K194,Materials!$A:$A,0)))</f>
        <v>44.1</v>
      </c>
      <c r="N194" s="23" t="n">
        <v>0</v>
      </c>
      <c r="O194" s="19"/>
      <c r="P194" s="21"/>
      <c r="Q194" s="22" t="n">
        <f aca="false">IF(O194="",0,P194*INDEX(Plant!$D:$D,MATCH(O194,Plant!$A:$A,0)))</f>
        <v>0</v>
      </c>
      <c r="R194" s="24" t="n">
        <f aca="false">F194+M194+N194+Q194</f>
        <v>65.03554125</v>
      </c>
      <c r="S194" s="22" t="n">
        <f aca="false">R194*Settings!$B$4*Settings!$B$9</f>
        <v>65.03554125</v>
      </c>
      <c r="T194" s="24" t="n">
        <f aca="false">S194*(1+Settings!$B$10)</f>
        <v>76.0915832625</v>
      </c>
    </row>
    <row r="195" customFormat="false" ht="15" hidden="false" customHeight="false" outlineLevel="0" collapsed="false">
      <c r="A195" s="19" t="s">
        <v>596</v>
      </c>
      <c r="B195" s="20" t="s">
        <v>597</v>
      </c>
      <c r="C195" s="19" t="s">
        <v>108</v>
      </c>
      <c r="D195" s="19" t="s">
        <v>554</v>
      </c>
      <c r="E195" s="21" t="n">
        <v>1.6</v>
      </c>
      <c r="F195" s="22" t="n">
        <f aca="false">IF(D195="",0,E195*INDEX(Gangs!$D:$D,MATCH(D195,Gangs!$A:$A,0)))</f>
        <v>223.31244</v>
      </c>
      <c r="G195" s="19" t="s">
        <v>598</v>
      </c>
      <c r="H195" s="21" t="n">
        <v>1.1</v>
      </c>
      <c r="I195" s="19" t="s">
        <v>580</v>
      </c>
      <c r="J195" s="21" t="n">
        <v>0.3</v>
      </c>
      <c r="K195" s="19" t="s">
        <v>581</v>
      </c>
      <c r="L195" s="21" t="n">
        <v>0.15</v>
      </c>
      <c r="M195" s="22" t="n">
        <f aca="false">IF(G195="",0,H195*INDEX(Materials!$E:$E,MATCH(G195,Materials!$A:$A,0)))+IF(I195="",0,J195*INDEX(Materials!$E:$E,MATCH(I195,Materials!$A:$A,0)))+IF(K195="",0,L195*INDEX(Materials!$E:$E,MATCH(K195,Materials!$A:$A,0)))</f>
        <v>629.75</v>
      </c>
      <c r="N195" s="23" t="n">
        <v>0</v>
      </c>
      <c r="O195" s="19"/>
      <c r="P195" s="21"/>
      <c r="Q195" s="22" t="n">
        <f aca="false">IF(O195="",0,P195*INDEX(Plant!$D:$D,MATCH(O195,Plant!$A:$A,0)))</f>
        <v>0</v>
      </c>
      <c r="R195" s="24" t="n">
        <f aca="false">F195+M195+N195+Q195</f>
        <v>853.06244</v>
      </c>
      <c r="S195" s="22" t="n">
        <f aca="false">R195*Settings!$B$4*Settings!$B$9</f>
        <v>853.06244</v>
      </c>
      <c r="T195" s="24" t="n">
        <f aca="false">S195*(1+Settings!$B$10)</f>
        <v>998.0830548</v>
      </c>
    </row>
    <row r="196" customFormat="false" ht="15" hidden="false" customHeight="false" outlineLevel="0" collapsed="false">
      <c r="A196" s="19" t="s">
        <v>599</v>
      </c>
      <c r="B196" s="20" t="s">
        <v>600</v>
      </c>
      <c r="C196" s="19" t="s">
        <v>108</v>
      </c>
      <c r="D196" s="19" t="s">
        <v>554</v>
      </c>
      <c r="E196" s="21" t="n">
        <v>1.1</v>
      </c>
      <c r="F196" s="22" t="n">
        <f aca="false">IF(D196="",0,E196*INDEX(Gangs!$D:$D,MATCH(D196,Gangs!$A:$A,0)))</f>
        <v>153.5273025</v>
      </c>
      <c r="G196" s="19" t="s">
        <v>601</v>
      </c>
      <c r="H196" s="21" t="n">
        <v>1.1</v>
      </c>
      <c r="I196" s="19" t="s">
        <v>580</v>
      </c>
      <c r="J196" s="21" t="n">
        <v>0.3</v>
      </c>
      <c r="K196" s="19" t="s">
        <v>581</v>
      </c>
      <c r="L196" s="21" t="n">
        <v>0.1</v>
      </c>
      <c r="M196" s="22" t="n">
        <f aca="false">IF(G196="",0,H196*INDEX(Materials!$E:$E,MATCH(G196,Materials!$A:$A,0)))+IF(I196="",0,J196*INDEX(Materials!$E:$E,MATCH(I196,Materials!$A:$A,0)))+IF(K196="",0,L196*INDEX(Materials!$E:$E,MATCH(K196,Materials!$A:$A,0)))</f>
        <v>339</v>
      </c>
      <c r="N196" s="23" t="n">
        <v>0</v>
      </c>
      <c r="O196" s="19"/>
      <c r="P196" s="21"/>
      <c r="Q196" s="22" t="n">
        <f aca="false">IF(O196="",0,P196*INDEX(Plant!$D:$D,MATCH(O196,Plant!$A:$A,0)))</f>
        <v>0</v>
      </c>
      <c r="R196" s="24" t="n">
        <f aca="false">F196+M196+N196+Q196</f>
        <v>492.5273025</v>
      </c>
      <c r="S196" s="22" t="n">
        <f aca="false">R196*Settings!$B$4*Settings!$B$9</f>
        <v>492.5273025</v>
      </c>
      <c r="T196" s="24" t="n">
        <f aca="false">S196*(1+Settings!$B$10)</f>
        <v>576.256943925</v>
      </c>
    </row>
    <row r="197" customFormat="false" ht="15" hidden="false" customHeight="false" outlineLevel="0" collapsed="false">
      <c r="A197" s="17" t="s">
        <v>602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</row>
    <row r="198" customFormat="false" ht="15" hidden="false" customHeight="false" outlineLevel="0" collapsed="false">
      <c r="A198" s="19" t="s">
        <v>603</v>
      </c>
      <c r="B198" s="20" t="s">
        <v>604</v>
      </c>
      <c r="C198" s="19" t="s">
        <v>108</v>
      </c>
      <c r="D198" s="19" t="s">
        <v>536</v>
      </c>
      <c r="E198" s="21" t="n">
        <v>0.45</v>
      </c>
      <c r="F198" s="22" t="n">
        <f aca="false">IF(D198="",0,E198*INDEX(Gangs!$D:$D,MATCH(D198,Gangs!$A:$A,0)))</f>
        <v>74.75616</v>
      </c>
      <c r="G198" s="19" t="s">
        <v>605</v>
      </c>
      <c r="H198" s="21" t="n">
        <v>0.017</v>
      </c>
      <c r="I198" s="19"/>
      <c r="J198" s="21"/>
      <c r="K198" s="19"/>
      <c r="L198" s="21"/>
      <c r="M198" s="22" t="n">
        <f aca="false">IF(G198="",0,H198*INDEX(Materials!$E:$E,MATCH(G198,Materials!$A:$A,0)))+IF(I198="",0,J198*INDEX(Materials!$E:$E,MATCH(I198,Materials!$A:$A,0)))+IF(K198="",0,L198*INDEX(Materials!$E:$E,MATCH(K198,Materials!$A:$A,0)))</f>
        <v>17.6205</v>
      </c>
      <c r="N198" s="23" t="n">
        <v>3</v>
      </c>
      <c r="O198" s="19"/>
      <c r="P198" s="21"/>
      <c r="Q198" s="22" t="n">
        <f aca="false">IF(O198="",0,P198*INDEX(Plant!$D:$D,MATCH(O198,Plant!$A:$A,0)))</f>
        <v>0</v>
      </c>
      <c r="R198" s="24" t="n">
        <f aca="false">F198+M198+N198+Q198</f>
        <v>95.37666</v>
      </c>
      <c r="S198" s="22" t="n">
        <f aca="false">R198*Settings!$B$4*Settings!$B$9</f>
        <v>95.37666</v>
      </c>
      <c r="T198" s="24" t="n">
        <f aca="false">S198*(1+Settings!$B$10)</f>
        <v>111.5906922</v>
      </c>
    </row>
    <row r="199" customFormat="false" ht="15" hidden="false" customHeight="false" outlineLevel="0" collapsed="false">
      <c r="A199" s="19" t="s">
        <v>606</v>
      </c>
      <c r="B199" s="20" t="s">
        <v>607</v>
      </c>
      <c r="C199" s="19" t="s">
        <v>108</v>
      </c>
      <c r="D199" s="19" t="s">
        <v>536</v>
      </c>
      <c r="E199" s="21" t="n">
        <v>0.55</v>
      </c>
      <c r="F199" s="22" t="n">
        <f aca="false">IF(D199="",0,E199*INDEX(Gangs!$D:$D,MATCH(D199,Gangs!$A:$A,0)))</f>
        <v>91.36864</v>
      </c>
      <c r="G199" s="19" t="s">
        <v>605</v>
      </c>
      <c r="H199" s="21" t="n">
        <v>0.018</v>
      </c>
      <c r="I199" s="19"/>
      <c r="J199" s="21"/>
      <c r="K199" s="19"/>
      <c r="L199" s="21"/>
      <c r="M199" s="22" t="n">
        <f aca="false">IF(G199="",0,H199*INDEX(Materials!$E:$E,MATCH(G199,Materials!$A:$A,0)))+IF(I199="",0,J199*INDEX(Materials!$E:$E,MATCH(I199,Materials!$A:$A,0)))+IF(K199="",0,L199*INDEX(Materials!$E:$E,MATCH(K199,Materials!$A:$A,0)))</f>
        <v>18.657</v>
      </c>
      <c r="N199" s="23" t="n">
        <v>6</v>
      </c>
      <c r="O199" s="19"/>
      <c r="P199" s="21"/>
      <c r="Q199" s="22" t="n">
        <f aca="false">IF(O199="",0,P199*INDEX(Plant!$D:$D,MATCH(O199,Plant!$A:$A,0)))</f>
        <v>0</v>
      </c>
      <c r="R199" s="24" t="n">
        <f aca="false">F199+M199+N199+Q199</f>
        <v>116.02564</v>
      </c>
      <c r="S199" s="22" t="n">
        <f aca="false">R199*Settings!$B$4*Settings!$B$9</f>
        <v>116.02564</v>
      </c>
      <c r="T199" s="24" t="n">
        <f aca="false">S199*(1+Settings!$B$10)</f>
        <v>135.7499988</v>
      </c>
    </row>
    <row r="200" customFormat="false" ht="15" hidden="false" customHeight="false" outlineLevel="0" collapsed="false">
      <c r="A200" s="19" t="s">
        <v>608</v>
      </c>
      <c r="B200" s="20" t="s">
        <v>609</v>
      </c>
      <c r="C200" s="19" t="s">
        <v>108</v>
      </c>
      <c r="D200" s="19" t="s">
        <v>536</v>
      </c>
      <c r="E200" s="21" t="n">
        <v>0.6</v>
      </c>
      <c r="F200" s="22" t="n">
        <f aca="false">IF(D200="",0,E200*INDEX(Gangs!$D:$D,MATCH(D200,Gangs!$A:$A,0)))</f>
        <v>99.67488</v>
      </c>
      <c r="G200" s="19" t="s">
        <v>605</v>
      </c>
      <c r="H200" s="21" t="n">
        <v>0.014</v>
      </c>
      <c r="I200" s="19"/>
      <c r="J200" s="21"/>
      <c r="K200" s="19"/>
      <c r="L200" s="21"/>
      <c r="M200" s="22" t="n">
        <f aca="false">IF(G200="",0,H200*INDEX(Materials!$E:$E,MATCH(G200,Materials!$A:$A,0)))+IF(I200="",0,J200*INDEX(Materials!$E:$E,MATCH(I200,Materials!$A:$A,0)))+IF(K200="",0,L200*INDEX(Materials!$E:$E,MATCH(K200,Materials!$A:$A,0)))</f>
        <v>14.511</v>
      </c>
      <c r="N200" s="23" t="n">
        <v>6</v>
      </c>
      <c r="O200" s="19"/>
      <c r="P200" s="21"/>
      <c r="Q200" s="22" t="n">
        <f aca="false">IF(O200="",0,P200*INDEX(Plant!$D:$D,MATCH(O200,Plant!$A:$A,0)))</f>
        <v>0</v>
      </c>
      <c r="R200" s="24" t="n">
        <f aca="false">F200+M200+N200+Q200</f>
        <v>120.18588</v>
      </c>
      <c r="S200" s="22" t="n">
        <f aca="false">R200*Settings!$B$4*Settings!$B$9</f>
        <v>120.18588</v>
      </c>
      <c r="T200" s="24" t="n">
        <f aca="false">S200*(1+Settings!$B$10)</f>
        <v>140.6174796</v>
      </c>
    </row>
    <row r="201" customFormat="false" ht="15" hidden="false" customHeight="false" outlineLevel="0" collapsed="false">
      <c r="A201" s="19" t="s">
        <v>610</v>
      </c>
      <c r="B201" s="20" t="s">
        <v>611</v>
      </c>
      <c r="C201" s="19" t="s">
        <v>108</v>
      </c>
      <c r="D201" s="19" t="s">
        <v>536</v>
      </c>
      <c r="E201" s="21" t="n">
        <v>0.3</v>
      </c>
      <c r="F201" s="22" t="n">
        <f aca="false">IF(D201="",0,E201*INDEX(Gangs!$D:$D,MATCH(D201,Gangs!$A:$A,0)))</f>
        <v>49.83744</v>
      </c>
      <c r="G201" s="19" t="s">
        <v>537</v>
      </c>
      <c r="H201" s="21" t="n">
        <v>0.17</v>
      </c>
      <c r="I201" s="19"/>
      <c r="J201" s="21"/>
      <c r="K201" s="19"/>
      <c r="L201" s="21"/>
      <c r="M201" s="22" t="n">
        <f aca="false">IF(G201="",0,H201*INDEX(Materials!$E:$E,MATCH(G201,Materials!$A:$A,0)))+IF(I201="",0,J201*INDEX(Materials!$E:$E,MATCH(I201,Materials!$A:$A,0)))+IF(K201="",0,L201*INDEX(Materials!$E:$E,MATCH(K201,Materials!$A:$A,0)))</f>
        <v>29.75</v>
      </c>
      <c r="N201" s="23" t="n">
        <v>0</v>
      </c>
      <c r="O201" s="19"/>
      <c r="P201" s="21"/>
      <c r="Q201" s="22" t="n">
        <f aca="false">IF(O201="",0,P201*INDEX(Plant!$D:$D,MATCH(O201,Plant!$A:$A,0)))</f>
        <v>0</v>
      </c>
      <c r="R201" s="24" t="n">
        <f aca="false">F201+M201+N201+Q201</f>
        <v>79.58744</v>
      </c>
      <c r="S201" s="22" t="n">
        <f aca="false">R201*Settings!$B$4*Settings!$B$9</f>
        <v>79.58744</v>
      </c>
      <c r="T201" s="24" t="n">
        <f aca="false">S201*(1+Settings!$B$10)</f>
        <v>93.1173048</v>
      </c>
    </row>
    <row r="202" customFormat="false" ht="15" hidden="false" customHeight="false" outlineLevel="0" collapsed="false">
      <c r="A202" s="19" t="s">
        <v>612</v>
      </c>
      <c r="B202" s="20" t="s">
        <v>613</v>
      </c>
      <c r="C202" s="19" t="s">
        <v>108</v>
      </c>
      <c r="D202" s="19" t="s">
        <v>536</v>
      </c>
      <c r="E202" s="21" t="n">
        <v>0.2</v>
      </c>
      <c r="F202" s="22" t="n">
        <f aca="false">IF(D202="",0,E202*INDEX(Gangs!$D:$D,MATCH(D202,Gangs!$A:$A,0)))</f>
        <v>33.22496</v>
      </c>
      <c r="G202" s="19" t="s">
        <v>605</v>
      </c>
      <c r="H202" s="21" t="n">
        <v>0.004</v>
      </c>
      <c r="I202" s="19"/>
      <c r="J202" s="21"/>
      <c r="K202" s="19"/>
      <c r="L202" s="21"/>
      <c r="M202" s="22" t="n">
        <f aca="false">IF(G202="",0,H202*INDEX(Materials!$E:$E,MATCH(G202,Materials!$A:$A,0)))+IF(I202="",0,J202*INDEX(Materials!$E:$E,MATCH(I202,Materials!$A:$A,0)))+IF(K202="",0,L202*INDEX(Materials!$E:$E,MATCH(K202,Materials!$A:$A,0)))</f>
        <v>4.146</v>
      </c>
      <c r="N202" s="23" t="n">
        <v>0</v>
      </c>
      <c r="O202" s="19"/>
      <c r="P202" s="21"/>
      <c r="Q202" s="22" t="n">
        <f aca="false">IF(O202="",0,P202*INDEX(Plant!$D:$D,MATCH(O202,Plant!$A:$A,0)))</f>
        <v>0</v>
      </c>
      <c r="R202" s="24" t="n">
        <f aca="false">F202+M202+N202+Q202</f>
        <v>37.37096</v>
      </c>
      <c r="S202" s="22" t="n">
        <f aca="false">R202*Settings!$B$4*Settings!$B$9</f>
        <v>37.37096</v>
      </c>
      <c r="T202" s="24" t="n">
        <f aca="false">S202*(1+Settings!$B$10)</f>
        <v>43.7240232</v>
      </c>
    </row>
    <row r="203" customFormat="false" ht="15" hidden="false" customHeight="false" outlineLevel="0" collapsed="false">
      <c r="A203" s="19" t="s">
        <v>614</v>
      </c>
      <c r="B203" s="20" t="s">
        <v>615</v>
      </c>
      <c r="C203" s="19" t="s">
        <v>256</v>
      </c>
      <c r="D203" s="19" t="s">
        <v>536</v>
      </c>
      <c r="E203" s="21" t="n">
        <v>0.25</v>
      </c>
      <c r="F203" s="22" t="n">
        <f aca="false">IF(D203="",0,E203*INDEX(Gangs!$D:$D,MATCH(D203,Gangs!$A:$A,0)))</f>
        <v>41.5312</v>
      </c>
      <c r="G203" s="19" t="s">
        <v>605</v>
      </c>
      <c r="H203" s="21" t="n">
        <v>0.005</v>
      </c>
      <c r="I203" s="19"/>
      <c r="J203" s="21"/>
      <c r="K203" s="19"/>
      <c r="L203" s="21"/>
      <c r="M203" s="22" t="n">
        <f aca="false">IF(G203="",0,H203*INDEX(Materials!$E:$E,MATCH(G203,Materials!$A:$A,0)))+IF(I203="",0,J203*INDEX(Materials!$E:$E,MATCH(I203,Materials!$A:$A,0)))+IF(K203="",0,L203*INDEX(Materials!$E:$E,MATCH(K203,Materials!$A:$A,0)))</f>
        <v>5.1825</v>
      </c>
      <c r="N203" s="23" t="n">
        <v>0</v>
      </c>
      <c r="O203" s="19"/>
      <c r="P203" s="21"/>
      <c r="Q203" s="22" t="n">
        <f aca="false">IF(O203="",0,P203*INDEX(Plant!$D:$D,MATCH(O203,Plant!$A:$A,0)))</f>
        <v>0</v>
      </c>
      <c r="R203" s="24" t="n">
        <f aca="false">F203+M203+N203+Q203</f>
        <v>46.7137</v>
      </c>
      <c r="S203" s="22" t="n">
        <f aca="false">R203*Settings!$B$4*Settings!$B$9</f>
        <v>46.7137</v>
      </c>
      <c r="T203" s="24" t="n">
        <f aca="false">S203*(1+Settings!$B$10)</f>
        <v>54.655029</v>
      </c>
    </row>
    <row r="204" customFormat="false" ht="15" hidden="false" customHeight="false" outlineLevel="0" collapsed="false">
      <c r="A204" s="19" t="s">
        <v>616</v>
      </c>
      <c r="B204" s="20" t="s">
        <v>617</v>
      </c>
      <c r="C204" s="19" t="s">
        <v>256</v>
      </c>
      <c r="D204" s="19" t="s">
        <v>536</v>
      </c>
      <c r="E204" s="21" t="n">
        <v>0.05</v>
      </c>
      <c r="F204" s="22" t="n">
        <f aca="false">IF(D204="",0,E204*INDEX(Gangs!$D:$D,MATCH(D204,Gangs!$A:$A,0)))</f>
        <v>8.30624</v>
      </c>
      <c r="G204" s="19" t="s">
        <v>618</v>
      </c>
      <c r="H204" s="21" t="n">
        <v>1.05</v>
      </c>
      <c r="I204" s="19"/>
      <c r="J204" s="21"/>
      <c r="K204" s="19"/>
      <c r="L204" s="21"/>
      <c r="M204" s="22" t="n">
        <f aca="false">IF(G204="",0,H204*INDEX(Materials!$E:$E,MATCH(G204,Materials!$A:$A,0)))+IF(I204="",0,J204*INDEX(Materials!$E:$E,MATCH(I204,Materials!$A:$A,0)))+IF(K204="",0,L204*INDEX(Materials!$E:$E,MATCH(K204,Materials!$A:$A,0)))</f>
        <v>14.7</v>
      </c>
      <c r="N204" s="23" t="n">
        <v>0</v>
      </c>
      <c r="O204" s="19"/>
      <c r="P204" s="21"/>
      <c r="Q204" s="22" t="n">
        <f aca="false">IF(O204="",0,P204*INDEX(Plant!$D:$D,MATCH(O204,Plant!$A:$A,0)))</f>
        <v>0</v>
      </c>
      <c r="R204" s="24" t="n">
        <f aca="false">F204+M204+N204+Q204</f>
        <v>23.00624</v>
      </c>
      <c r="S204" s="22" t="n">
        <f aca="false">R204*Settings!$B$4*Settings!$B$9</f>
        <v>23.00624</v>
      </c>
      <c r="T204" s="24" t="n">
        <f aca="false">S204*(1+Settings!$B$10)</f>
        <v>26.9173008</v>
      </c>
    </row>
    <row r="205" customFormat="false" ht="15" hidden="false" customHeight="false" outlineLevel="0" collapsed="false">
      <c r="A205" s="19" t="s">
        <v>619</v>
      </c>
      <c r="B205" s="20" t="s">
        <v>620</v>
      </c>
      <c r="C205" s="19" t="s">
        <v>108</v>
      </c>
      <c r="D205" s="19" t="s">
        <v>536</v>
      </c>
      <c r="E205" s="21" t="n">
        <v>0.3</v>
      </c>
      <c r="F205" s="22" t="n">
        <f aca="false">IF(D205="",0,E205*INDEX(Gangs!$D:$D,MATCH(D205,Gangs!$A:$A,0)))</f>
        <v>49.83744</v>
      </c>
      <c r="G205" s="19" t="s">
        <v>605</v>
      </c>
      <c r="H205" s="21" t="n">
        <v>0.008</v>
      </c>
      <c r="I205" s="19"/>
      <c r="J205" s="21"/>
      <c r="K205" s="19"/>
      <c r="L205" s="21"/>
      <c r="M205" s="22" t="n">
        <f aca="false">IF(G205="",0,H205*INDEX(Materials!$E:$E,MATCH(G205,Materials!$A:$A,0)))+IF(I205="",0,J205*INDEX(Materials!$E:$E,MATCH(I205,Materials!$A:$A,0)))+IF(K205="",0,L205*INDEX(Materials!$E:$E,MATCH(K205,Materials!$A:$A,0)))</f>
        <v>8.292</v>
      </c>
      <c r="N205" s="23" t="n">
        <v>12</v>
      </c>
      <c r="O205" s="19"/>
      <c r="P205" s="21"/>
      <c r="Q205" s="22" t="n">
        <f aca="false">IF(O205="",0,P205*INDEX(Plant!$D:$D,MATCH(O205,Plant!$A:$A,0)))</f>
        <v>0</v>
      </c>
      <c r="R205" s="24" t="n">
        <f aca="false">F205+M205+N205+Q205</f>
        <v>70.12944</v>
      </c>
      <c r="S205" s="22" t="n">
        <f aca="false">R205*Settings!$B$4*Settings!$B$9</f>
        <v>70.12944</v>
      </c>
      <c r="T205" s="24" t="n">
        <f aca="false">S205*(1+Settings!$B$10)</f>
        <v>82.0514448</v>
      </c>
    </row>
    <row r="206" customFormat="false" ht="15" hidden="false" customHeight="false" outlineLevel="0" collapsed="false">
      <c r="A206" s="17" t="s">
        <v>621</v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</row>
    <row r="207" customFormat="false" ht="15" hidden="false" customHeight="false" outlineLevel="0" collapsed="false">
      <c r="A207" s="19" t="s">
        <v>622</v>
      </c>
      <c r="B207" s="20" t="s">
        <v>623</v>
      </c>
      <c r="C207" s="19" t="s">
        <v>256</v>
      </c>
      <c r="D207" s="19" t="s">
        <v>151</v>
      </c>
      <c r="E207" s="21" t="n">
        <v>0.35</v>
      </c>
      <c r="F207" s="22" t="n">
        <f aca="false">IF(D207="",0,E207*INDEX(Gangs!$D:$D,MATCH(D207,Gangs!$A:$A,0)))</f>
        <v>79.3044175</v>
      </c>
      <c r="G207" s="19" t="s">
        <v>624</v>
      </c>
      <c r="H207" s="21" t="n">
        <v>1.05</v>
      </c>
      <c r="I207" s="19" t="s">
        <v>625</v>
      </c>
      <c r="J207" s="21" t="n">
        <v>0.05</v>
      </c>
      <c r="K207" s="19"/>
      <c r="L207" s="21"/>
      <c r="M207" s="22" t="n">
        <f aca="false">IF(G207="",0,H207*INDEX(Materials!$E:$E,MATCH(G207,Materials!$A:$A,0)))+IF(I207="",0,J207*INDEX(Materials!$E:$E,MATCH(I207,Materials!$A:$A,0)))+IF(K207="",0,L207*INDEX(Materials!$E:$E,MATCH(K207,Materials!$A:$A,0)))</f>
        <v>147.9</v>
      </c>
      <c r="N207" s="23" t="n">
        <v>25</v>
      </c>
      <c r="O207" s="19"/>
      <c r="P207" s="21"/>
      <c r="Q207" s="22" t="n">
        <f aca="false">IF(O207="",0,P207*INDEX(Plant!$D:$D,MATCH(O207,Plant!$A:$A,0)))</f>
        <v>0</v>
      </c>
      <c r="R207" s="24" t="n">
        <f aca="false">F207+M207+N207+Q207</f>
        <v>252.2044175</v>
      </c>
      <c r="S207" s="22" t="n">
        <f aca="false">R207*Settings!$B$4*Settings!$B$9</f>
        <v>252.2044175</v>
      </c>
      <c r="T207" s="24" t="n">
        <f aca="false">S207*(1+Settings!$B$10)</f>
        <v>295.079168475</v>
      </c>
    </row>
    <row r="208" customFormat="false" ht="15" hidden="false" customHeight="false" outlineLevel="0" collapsed="false">
      <c r="A208" s="19" t="s">
        <v>626</v>
      </c>
      <c r="B208" s="20" t="s">
        <v>627</v>
      </c>
      <c r="C208" s="19" t="s">
        <v>256</v>
      </c>
      <c r="D208" s="19" t="s">
        <v>151</v>
      </c>
      <c r="E208" s="21" t="n">
        <v>0.45</v>
      </c>
      <c r="F208" s="22" t="n">
        <f aca="false">IF(D208="",0,E208*INDEX(Gangs!$D:$D,MATCH(D208,Gangs!$A:$A,0)))</f>
        <v>101.9628225</v>
      </c>
      <c r="G208" s="19" t="s">
        <v>628</v>
      </c>
      <c r="H208" s="21" t="n">
        <v>1.05</v>
      </c>
      <c r="I208" s="19" t="s">
        <v>625</v>
      </c>
      <c r="J208" s="21" t="n">
        <v>0.07</v>
      </c>
      <c r="K208" s="19"/>
      <c r="L208" s="21"/>
      <c r="M208" s="22" t="n">
        <f aca="false">IF(G208="",0,H208*INDEX(Materials!$E:$E,MATCH(G208,Materials!$A:$A,0)))+IF(I208="",0,J208*INDEX(Materials!$E:$E,MATCH(I208,Materials!$A:$A,0)))+IF(K208="",0,L208*INDEX(Materials!$E:$E,MATCH(K208,Materials!$A:$A,0)))</f>
        <v>285.6</v>
      </c>
      <c r="N208" s="23" t="n">
        <v>35</v>
      </c>
      <c r="O208" s="19"/>
      <c r="P208" s="21"/>
      <c r="Q208" s="22" t="n">
        <f aca="false">IF(O208="",0,P208*INDEX(Plant!$D:$D,MATCH(O208,Plant!$A:$A,0)))</f>
        <v>0</v>
      </c>
      <c r="R208" s="24" t="n">
        <f aca="false">F208+M208+N208+Q208</f>
        <v>422.5628225</v>
      </c>
      <c r="S208" s="22" t="n">
        <f aca="false">R208*Settings!$B$4*Settings!$B$9</f>
        <v>422.5628225</v>
      </c>
      <c r="T208" s="24" t="n">
        <f aca="false">S208*(1+Settings!$B$10)</f>
        <v>494.398502325</v>
      </c>
    </row>
    <row r="209" customFormat="false" ht="15" hidden="false" customHeight="false" outlineLevel="0" collapsed="false">
      <c r="A209" s="19" t="s">
        <v>629</v>
      </c>
      <c r="B209" s="20" t="s">
        <v>630</v>
      </c>
      <c r="C209" s="19" t="s">
        <v>256</v>
      </c>
      <c r="D209" s="19" t="s">
        <v>151</v>
      </c>
      <c r="E209" s="21" t="n">
        <v>0.3</v>
      </c>
      <c r="F209" s="22" t="n">
        <f aca="false">IF(D209="",0,E209*INDEX(Gangs!$D:$D,MATCH(D209,Gangs!$A:$A,0)))</f>
        <v>67.975215</v>
      </c>
      <c r="G209" s="19" t="s">
        <v>631</v>
      </c>
      <c r="H209" s="21" t="n">
        <v>1.05</v>
      </c>
      <c r="I209" s="19"/>
      <c r="J209" s="21"/>
      <c r="K209" s="19"/>
      <c r="L209" s="21"/>
      <c r="M209" s="22" t="n">
        <f aca="false">IF(G209="",0,H209*INDEX(Materials!$E:$E,MATCH(G209,Materials!$A:$A,0)))+IF(I209="",0,J209*INDEX(Materials!$E:$E,MATCH(I209,Materials!$A:$A,0)))+IF(K209="",0,L209*INDEX(Materials!$E:$E,MATCH(K209,Materials!$A:$A,0)))</f>
        <v>54.6</v>
      </c>
      <c r="N209" s="23" t="n">
        <v>15</v>
      </c>
      <c r="O209" s="19"/>
      <c r="P209" s="21"/>
      <c r="Q209" s="22" t="n">
        <f aca="false">IF(O209="",0,P209*INDEX(Plant!$D:$D,MATCH(O209,Plant!$A:$A,0)))</f>
        <v>0</v>
      </c>
      <c r="R209" s="24" t="n">
        <f aca="false">F209+M209+N209+Q209</f>
        <v>137.575215</v>
      </c>
      <c r="S209" s="22" t="n">
        <f aca="false">R209*Settings!$B$4*Settings!$B$9</f>
        <v>137.575215</v>
      </c>
      <c r="T209" s="24" t="n">
        <f aca="false">S209*(1+Settings!$B$10)</f>
        <v>160.96300155</v>
      </c>
    </row>
    <row r="210" customFormat="false" ht="15" hidden="false" customHeight="false" outlineLevel="0" collapsed="false">
      <c r="A210" s="19" t="s">
        <v>632</v>
      </c>
      <c r="B210" s="20" t="s">
        <v>633</v>
      </c>
      <c r="C210" s="19" t="s">
        <v>256</v>
      </c>
      <c r="D210" s="19" t="s">
        <v>151</v>
      </c>
      <c r="E210" s="21" t="n">
        <v>0.28</v>
      </c>
      <c r="F210" s="22" t="n">
        <f aca="false">IF(D210="",0,E210*INDEX(Gangs!$D:$D,MATCH(D210,Gangs!$A:$A,0)))</f>
        <v>63.443534</v>
      </c>
      <c r="G210" s="19" t="s">
        <v>634</v>
      </c>
      <c r="H210" s="21" t="n">
        <v>1.05</v>
      </c>
      <c r="I210" s="19"/>
      <c r="J210" s="21"/>
      <c r="K210" s="19"/>
      <c r="L210" s="21"/>
      <c r="M210" s="22" t="n">
        <f aca="false">IF(G210="",0,H210*INDEX(Materials!$E:$E,MATCH(G210,Materials!$A:$A,0)))+IF(I210="",0,J210*INDEX(Materials!$E:$E,MATCH(I210,Materials!$A:$A,0)))+IF(K210="",0,L210*INDEX(Materials!$E:$E,MATCH(K210,Materials!$A:$A,0)))</f>
        <v>39.9</v>
      </c>
      <c r="N210" s="23" t="n">
        <v>12</v>
      </c>
      <c r="O210" s="19"/>
      <c r="P210" s="21"/>
      <c r="Q210" s="22" t="n">
        <f aca="false">IF(O210="",0,P210*INDEX(Plant!$D:$D,MATCH(O210,Plant!$A:$A,0)))</f>
        <v>0</v>
      </c>
      <c r="R210" s="24" t="n">
        <f aca="false">F210+M210+N210+Q210</f>
        <v>115.343534</v>
      </c>
      <c r="S210" s="22" t="n">
        <f aca="false">R210*Settings!$B$4*Settings!$B$9</f>
        <v>115.343534</v>
      </c>
      <c r="T210" s="24" t="n">
        <f aca="false">S210*(1+Settings!$B$10)</f>
        <v>134.95193478</v>
      </c>
    </row>
    <row r="211" customFormat="false" ht="15" hidden="false" customHeight="false" outlineLevel="0" collapsed="false">
      <c r="A211" s="19" t="s">
        <v>635</v>
      </c>
      <c r="B211" s="20" t="s">
        <v>636</v>
      </c>
      <c r="C211" s="19" t="s">
        <v>256</v>
      </c>
      <c r="D211" s="19" t="s">
        <v>151</v>
      </c>
      <c r="E211" s="21" t="n">
        <v>0.35</v>
      </c>
      <c r="F211" s="22" t="n">
        <f aca="false">IF(D211="",0,E211*INDEX(Gangs!$D:$D,MATCH(D211,Gangs!$A:$A,0)))</f>
        <v>79.3044175</v>
      </c>
      <c r="G211" s="19" t="s">
        <v>637</v>
      </c>
      <c r="H211" s="21" t="n">
        <v>1.05</v>
      </c>
      <c r="I211" s="19"/>
      <c r="J211" s="21"/>
      <c r="K211" s="19"/>
      <c r="L211" s="21"/>
      <c r="M211" s="22" t="n">
        <f aca="false">IF(G211="",0,H211*INDEX(Materials!$E:$E,MATCH(G211,Materials!$A:$A,0)))+IF(I211="",0,J211*INDEX(Materials!$E:$E,MATCH(I211,Materials!$A:$A,0)))+IF(K211="",0,L211*INDEX(Materials!$E:$E,MATCH(K211,Materials!$A:$A,0)))</f>
        <v>194.25</v>
      </c>
      <c r="N211" s="23" t="n">
        <v>30</v>
      </c>
      <c r="O211" s="19"/>
      <c r="P211" s="21"/>
      <c r="Q211" s="22" t="n">
        <f aca="false">IF(O211="",0,P211*INDEX(Plant!$D:$D,MATCH(O211,Plant!$A:$A,0)))</f>
        <v>0</v>
      </c>
      <c r="R211" s="24" t="n">
        <f aca="false">F211+M211+N211+Q211</f>
        <v>303.5544175</v>
      </c>
      <c r="S211" s="22" t="n">
        <f aca="false">R211*Settings!$B$4*Settings!$B$9</f>
        <v>303.5544175</v>
      </c>
      <c r="T211" s="24" t="n">
        <f aca="false">S211*(1+Settings!$B$10)</f>
        <v>355.158668475</v>
      </c>
    </row>
    <row r="212" customFormat="false" ht="15" hidden="false" customHeight="false" outlineLevel="0" collapsed="false">
      <c r="A212" s="19" t="s">
        <v>638</v>
      </c>
      <c r="B212" s="20" t="s">
        <v>639</v>
      </c>
      <c r="C212" s="19" t="s">
        <v>256</v>
      </c>
      <c r="D212" s="19" t="s">
        <v>151</v>
      </c>
      <c r="E212" s="21" t="n">
        <v>0.3</v>
      </c>
      <c r="F212" s="22" t="n">
        <f aca="false">IF(D212="",0,E212*INDEX(Gangs!$D:$D,MATCH(D212,Gangs!$A:$A,0)))</f>
        <v>67.975215</v>
      </c>
      <c r="G212" s="19" t="s">
        <v>640</v>
      </c>
      <c r="H212" s="21" t="n">
        <v>1.05</v>
      </c>
      <c r="I212" s="19"/>
      <c r="J212" s="21"/>
      <c r="K212" s="19"/>
      <c r="L212" s="21"/>
      <c r="M212" s="22" t="n">
        <f aca="false">IF(G212="",0,H212*INDEX(Materials!$E:$E,MATCH(G212,Materials!$A:$A,0)))+IF(I212="",0,J212*INDEX(Materials!$E:$E,MATCH(I212,Materials!$A:$A,0)))+IF(K212="",0,L212*INDEX(Materials!$E:$E,MATCH(K212,Materials!$A:$A,0)))</f>
        <v>123.9</v>
      </c>
      <c r="N212" s="23" t="n">
        <v>20</v>
      </c>
      <c r="O212" s="19"/>
      <c r="P212" s="21"/>
      <c r="Q212" s="22" t="n">
        <f aca="false">IF(O212="",0,P212*INDEX(Plant!$D:$D,MATCH(O212,Plant!$A:$A,0)))</f>
        <v>0</v>
      </c>
      <c r="R212" s="24" t="n">
        <f aca="false">F212+M212+N212+Q212</f>
        <v>211.875215</v>
      </c>
      <c r="S212" s="22" t="n">
        <f aca="false">R212*Settings!$B$4*Settings!$B$9</f>
        <v>211.875215</v>
      </c>
      <c r="T212" s="24" t="n">
        <f aca="false">S212*(1+Settings!$B$10)</f>
        <v>247.89400155</v>
      </c>
    </row>
    <row r="213" customFormat="false" ht="15" hidden="false" customHeight="false" outlineLevel="0" collapsed="false">
      <c r="A213" s="19" t="s">
        <v>641</v>
      </c>
      <c r="B213" s="20" t="s">
        <v>642</v>
      </c>
      <c r="C213" s="19" t="s">
        <v>256</v>
      </c>
      <c r="D213" s="19" t="s">
        <v>151</v>
      </c>
      <c r="E213" s="21" t="n">
        <v>0.2</v>
      </c>
      <c r="F213" s="22" t="n">
        <f aca="false">IF(D213="",0,E213*INDEX(Gangs!$D:$D,MATCH(D213,Gangs!$A:$A,0)))</f>
        <v>45.31681</v>
      </c>
      <c r="G213" s="19" t="s">
        <v>643</v>
      </c>
      <c r="H213" s="21" t="n">
        <v>1.05</v>
      </c>
      <c r="I213" s="19"/>
      <c r="J213" s="21"/>
      <c r="K213" s="19"/>
      <c r="L213" s="21"/>
      <c r="M213" s="22" t="n">
        <f aca="false">IF(G213="",0,H213*INDEX(Materials!$E:$E,MATCH(G213,Materials!$A:$A,0)))+IF(I213="",0,J213*INDEX(Materials!$E:$E,MATCH(I213,Materials!$A:$A,0)))+IF(K213="",0,L213*INDEX(Materials!$E:$E,MATCH(K213,Materials!$A:$A,0)))</f>
        <v>37.8</v>
      </c>
      <c r="N213" s="23" t="n">
        <v>25</v>
      </c>
      <c r="O213" s="19"/>
      <c r="P213" s="21"/>
      <c r="Q213" s="22" t="n">
        <f aca="false">IF(O213="",0,P213*INDEX(Plant!$D:$D,MATCH(O213,Plant!$A:$A,0)))</f>
        <v>0</v>
      </c>
      <c r="R213" s="24" t="n">
        <f aca="false">F213+M213+N213+Q213</f>
        <v>108.11681</v>
      </c>
      <c r="S213" s="22" t="n">
        <f aca="false">R213*Settings!$B$4*Settings!$B$9</f>
        <v>108.11681</v>
      </c>
      <c r="T213" s="24" t="n">
        <f aca="false">S213*(1+Settings!$B$10)</f>
        <v>126.4966677</v>
      </c>
    </row>
    <row r="214" customFormat="false" ht="15" hidden="false" customHeight="false" outlineLevel="0" collapsed="false">
      <c r="A214" s="19" t="s">
        <v>644</v>
      </c>
      <c r="B214" s="20" t="s">
        <v>645</v>
      </c>
      <c r="C214" s="19" t="s">
        <v>256</v>
      </c>
      <c r="D214" s="19" t="s">
        <v>151</v>
      </c>
      <c r="E214" s="21" t="n">
        <v>0.12</v>
      </c>
      <c r="F214" s="22" t="n">
        <f aca="false">IF(D214="",0,E214*INDEX(Gangs!$D:$D,MATCH(D214,Gangs!$A:$A,0)))</f>
        <v>27.190086</v>
      </c>
      <c r="G214" s="19" t="s">
        <v>646</v>
      </c>
      <c r="H214" s="21" t="n">
        <v>1.05</v>
      </c>
      <c r="I214" s="19"/>
      <c r="J214" s="21"/>
      <c r="K214" s="19"/>
      <c r="L214" s="21"/>
      <c r="M214" s="22" t="n">
        <f aca="false">IF(G214="",0,H214*INDEX(Materials!$E:$E,MATCH(G214,Materials!$A:$A,0)))+IF(I214="",0,J214*INDEX(Materials!$E:$E,MATCH(I214,Materials!$A:$A,0)))+IF(K214="",0,L214*INDEX(Materials!$E:$E,MATCH(K214,Materials!$A:$A,0)))</f>
        <v>25.2</v>
      </c>
      <c r="N214" s="23" t="n">
        <v>8</v>
      </c>
      <c r="O214" s="19"/>
      <c r="P214" s="21"/>
      <c r="Q214" s="22" t="n">
        <f aca="false">IF(O214="",0,P214*INDEX(Plant!$D:$D,MATCH(O214,Plant!$A:$A,0)))</f>
        <v>0</v>
      </c>
      <c r="R214" s="24" t="n">
        <f aca="false">F214+M214+N214+Q214</f>
        <v>60.390086</v>
      </c>
      <c r="S214" s="22" t="n">
        <f aca="false">R214*Settings!$B$4*Settings!$B$9</f>
        <v>60.390086</v>
      </c>
      <c r="T214" s="24" t="n">
        <f aca="false">S214*(1+Settings!$B$10)</f>
        <v>70.65640062</v>
      </c>
    </row>
    <row r="215" customFormat="false" ht="15" hidden="false" customHeight="false" outlineLevel="0" collapsed="false">
      <c r="A215" s="19" t="s">
        <v>647</v>
      </c>
      <c r="B215" s="20" t="s">
        <v>648</v>
      </c>
      <c r="C215" s="19" t="s">
        <v>96</v>
      </c>
      <c r="D215" s="19" t="s">
        <v>154</v>
      </c>
      <c r="E215" s="21" t="n">
        <v>10</v>
      </c>
      <c r="F215" s="22" t="n">
        <f aca="false">IF(D215="",0,E215*INDEX(Gangs!$D:$D,MATCH(D215,Gangs!$A:$A,0)))</f>
        <v>1661.248</v>
      </c>
      <c r="G215" s="19" t="s">
        <v>297</v>
      </c>
      <c r="H215" s="21" t="n">
        <v>250</v>
      </c>
      <c r="I215" s="19" t="s">
        <v>156</v>
      </c>
      <c r="J215" s="21" t="n">
        <v>0.12</v>
      </c>
      <c r="K215" s="19" t="s">
        <v>649</v>
      </c>
      <c r="L215" s="21" t="n">
        <v>1</v>
      </c>
      <c r="M215" s="22" t="n">
        <f aca="false">IF(G215="",0,H215*INDEX(Materials!$E:$E,MATCH(G215,Materials!$A:$A,0)))+IF(I215="",0,J215*INDEX(Materials!$E:$E,MATCH(I215,Materials!$A:$A,0)))+IF(K215="",0,L215*INDEX(Materials!$E:$E,MATCH(K215,Materials!$A:$A,0)))</f>
        <v>1612.76</v>
      </c>
      <c r="N215" s="23" t="n">
        <v>550</v>
      </c>
      <c r="O215" s="19"/>
      <c r="P215" s="21"/>
      <c r="Q215" s="22" t="n">
        <f aca="false">IF(O215="",0,P215*INDEX(Plant!$D:$D,MATCH(O215,Plant!$A:$A,0)))</f>
        <v>0</v>
      </c>
      <c r="R215" s="24" t="n">
        <f aca="false">F215+M215+N215+Q215</f>
        <v>3824.008</v>
      </c>
      <c r="S215" s="22" t="n">
        <f aca="false">R215*Settings!$B$4*Settings!$B$9</f>
        <v>3824.008</v>
      </c>
      <c r="T215" s="24" t="n">
        <f aca="false">S215*(1+Settings!$B$10)</f>
        <v>4474.08936</v>
      </c>
    </row>
    <row r="216" customFormat="false" ht="15" hidden="false" customHeight="false" outlineLevel="0" collapsed="false">
      <c r="A216" s="19" t="s">
        <v>650</v>
      </c>
      <c r="B216" s="20" t="s">
        <v>651</v>
      </c>
      <c r="C216" s="19" t="s">
        <v>96</v>
      </c>
      <c r="D216" s="19" t="s">
        <v>151</v>
      </c>
      <c r="E216" s="21" t="n">
        <v>3</v>
      </c>
      <c r="F216" s="22" t="n">
        <f aca="false">IF(D216="",0,E216*INDEX(Gangs!$D:$D,MATCH(D216,Gangs!$A:$A,0)))</f>
        <v>679.75215</v>
      </c>
      <c r="G216" s="19" t="s">
        <v>652</v>
      </c>
      <c r="H216" s="21" t="n">
        <v>1</v>
      </c>
      <c r="I216" s="19"/>
      <c r="J216" s="21"/>
      <c r="K216" s="19"/>
      <c r="L216" s="21"/>
      <c r="M216" s="22" t="n">
        <f aca="false">IF(G216="",0,H216*INDEX(Materials!$E:$E,MATCH(G216,Materials!$A:$A,0)))+IF(I216="",0,J216*INDEX(Materials!$E:$E,MATCH(I216,Materials!$A:$A,0)))+IF(K216="",0,L216*INDEX(Materials!$E:$E,MATCH(K216,Materials!$A:$A,0)))</f>
        <v>1450</v>
      </c>
      <c r="N216" s="23" t="n">
        <v>150</v>
      </c>
      <c r="O216" s="19"/>
      <c r="P216" s="21"/>
      <c r="Q216" s="22" t="n">
        <f aca="false">IF(O216="",0,P216*INDEX(Plant!$D:$D,MATCH(O216,Plant!$A:$A,0)))</f>
        <v>0</v>
      </c>
      <c r="R216" s="24" t="n">
        <f aca="false">F216+M216+N216+Q216</f>
        <v>2279.75215</v>
      </c>
      <c r="S216" s="22" t="n">
        <f aca="false">R216*Settings!$B$4*Settings!$B$9</f>
        <v>2279.75215</v>
      </c>
      <c r="T216" s="24" t="n">
        <f aca="false">S216*(1+Settings!$B$10)</f>
        <v>2667.3100155</v>
      </c>
    </row>
    <row r="217" customFormat="false" ht="15" hidden="false" customHeight="false" outlineLevel="0" collapsed="false">
      <c r="A217" s="19" t="s">
        <v>653</v>
      </c>
      <c r="B217" s="20" t="s">
        <v>654</v>
      </c>
      <c r="C217" s="19" t="s">
        <v>96</v>
      </c>
      <c r="D217" s="19" t="s">
        <v>151</v>
      </c>
      <c r="E217" s="21" t="n">
        <v>0.8</v>
      </c>
      <c r="F217" s="22" t="n">
        <f aca="false">IF(D217="",0,E217*INDEX(Gangs!$D:$D,MATCH(D217,Gangs!$A:$A,0)))</f>
        <v>181.26724</v>
      </c>
      <c r="G217" s="19" t="s">
        <v>655</v>
      </c>
      <c r="H217" s="21" t="n">
        <v>1</v>
      </c>
      <c r="I217" s="19"/>
      <c r="J217" s="21"/>
      <c r="K217" s="19"/>
      <c r="L217" s="21"/>
      <c r="M217" s="22" t="n">
        <f aca="false">IF(G217="",0,H217*INDEX(Materials!$E:$E,MATCH(G217,Materials!$A:$A,0)))+IF(I217="",0,J217*INDEX(Materials!$E:$E,MATCH(I217,Materials!$A:$A,0)))+IF(K217="",0,L217*INDEX(Materials!$E:$E,MATCH(K217,Materials!$A:$A,0)))</f>
        <v>180</v>
      </c>
      <c r="N217" s="23" t="n">
        <v>0</v>
      </c>
      <c r="O217" s="19"/>
      <c r="P217" s="21"/>
      <c r="Q217" s="22" t="n">
        <f aca="false">IF(O217="",0,P217*INDEX(Plant!$D:$D,MATCH(O217,Plant!$A:$A,0)))</f>
        <v>0</v>
      </c>
      <c r="R217" s="24" t="n">
        <f aca="false">F217+M217+N217+Q217</f>
        <v>361.26724</v>
      </c>
      <c r="S217" s="22" t="n">
        <f aca="false">R217*Settings!$B$4*Settings!$B$9</f>
        <v>361.26724</v>
      </c>
      <c r="T217" s="24" t="n">
        <f aca="false">S217*(1+Settings!$B$10)</f>
        <v>422.6826708</v>
      </c>
    </row>
    <row r="218" customFormat="false" ht="15" hidden="false" customHeight="false" outlineLevel="0" collapsed="false">
      <c r="A218" s="19" t="s">
        <v>656</v>
      </c>
      <c r="B218" s="20" t="s">
        <v>657</v>
      </c>
      <c r="C218" s="19" t="s">
        <v>96</v>
      </c>
      <c r="D218" s="19" t="s">
        <v>151</v>
      </c>
      <c r="E218" s="21" t="n">
        <v>1.5</v>
      </c>
      <c r="F218" s="22" t="n">
        <f aca="false">IF(D218="",0,E218*INDEX(Gangs!$D:$D,MATCH(D218,Gangs!$A:$A,0)))</f>
        <v>339.876075</v>
      </c>
      <c r="G218" s="19" t="s">
        <v>658</v>
      </c>
      <c r="H218" s="21" t="n">
        <v>1</v>
      </c>
      <c r="I218" s="19" t="s">
        <v>297</v>
      </c>
      <c r="J218" s="21" t="n">
        <v>20</v>
      </c>
      <c r="K218" s="19" t="s">
        <v>156</v>
      </c>
      <c r="L218" s="21" t="n">
        <v>0.01</v>
      </c>
      <c r="M218" s="22" t="n">
        <f aca="false">IF(G218="",0,H218*INDEX(Materials!$E:$E,MATCH(G218,Materials!$A:$A,0)))+IF(I218="",0,J218*INDEX(Materials!$E:$E,MATCH(I218,Materials!$A:$A,0)))+IF(K218="",0,L218*INDEX(Materials!$E:$E,MATCH(K218,Materials!$A:$A,0)))</f>
        <v>473.48</v>
      </c>
      <c r="N218" s="23" t="n">
        <v>0</v>
      </c>
      <c r="O218" s="19"/>
      <c r="P218" s="21"/>
      <c r="Q218" s="22" t="n">
        <f aca="false">IF(O218="",0,P218*INDEX(Plant!$D:$D,MATCH(O218,Plant!$A:$A,0)))</f>
        <v>0</v>
      </c>
      <c r="R218" s="24" t="n">
        <f aca="false">F218+M218+N218+Q218</f>
        <v>813.356075</v>
      </c>
      <c r="S218" s="22" t="n">
        <f aca="false">R218*Settings!$B$4*Settings!$B$9</f>
        <v>813.356075</v>
      </c>
      <c r="T218" s="24" t="n">
        <f aca="false">S218*(1+Settings!$B$10)</f>
        <v>951.62660775</v>
      </c>
    </row>
    <row r="219" customFormat="false" ht="15" hidden="false" customHeight="false" outlineLevel="0" collapsed="false">
      <c r="A219" s="19" t="s">
        <v>659</v>
      </c>
      <c r="B219" s="20" t="s">
        <v>660</v>
      </c>
      <c r="C219" s="19" t="s">
        <v>74</v>
      </c>
      <c r="D219" s="19" t="s">
        <v>151</v>
      </c>
      <c r="E219" s="21" t="n">
        <v>8</v>
      </c>
      <c r="F219" s="22" t="n">
        <f aca="false">IF(D219="",0,E219*INDEX(Gangs!$D:$D,MATCH(D219,Gangs!$A:$A,0)))</f>
        <v>1812.6724</v>
      </c>
      <c r="G219" s="19"/>
      <c r="H219" s="21"/>
      <c r="I219" s="19"/>
      <c r="J219" s="21"/>
      <c r="K219" s="19"/>
      <c r="L219" s="21"/>
      <c r="M219" s="22" t="n">
        <f aca="false">IF(G219="",0,H219*INDEX(Materials!$E:$E,MATCH(G219,Materials!$A:$A,0)))+IF(I219="",0,J219*INDEX(Materials!$E:$E,MATCH(I219,Materials!$A:$A,0)))+IF(K219="",0,L219*INDEX(Materials!$E:$E,MATCH(K219,Materials!$A:$A,0)))</f>
        <v>0</v>
      </c>
      <c r="N219" s="23" t="n">
        <v>6500</v>
      </c>
      <c r="O219" s="19"/>
      <c r="P219" s="21"/>
      <c r="Q219" s="22" t="n">
        <f aca="false">IF(O219="",0,P219*INDEX(Plant!$D:$D,MATCH(O219,Plant!$A:$A,0)))</f>
        <v>0</v>
      </c>
      <c r="R219" s="24" t="n">
        <f aca="false">F219+M219+N219+Q219</f>
        <v>8312.6724</v>
      </c>
      <c r="S219" s="22" t="n">
        <f aca="false">R219*Settings!$B$4*Settings!$B$9</f>
        <v>8312.6724</v>
      </c>
      <c r="T219" s="24" t="n">
        <f aca="false">S219*(1+Settings!$B$10)</f>
        <v>9725.826708</v>
      </c>
    </row>
    <row r="220" customFormat="false" ht="15" hidden="false" customHeight="false" outlineLevel="0" collapsed="false">
      <c r="A220" s="19" t="s">
        <v>661</v>
      </c>
      <c r="B220" s="20" t="s">
        <v>662</v>
      </c>
      <c r="C220" s="19" t="s">
        <v>96</v>
      </c>
      <c r="D220" s="19" t="s">
        <v>151</v>
      </c>
      <c r="E220" s="21" t="n">
        <v>3</v>
      </c>
      <c r="F220" s="22" t="n">
        <f aca="false">IF(D220="",0,E220*INDEX(Gangs!$D:$D,MATCH(D220,Gangs!$A:$A,0)))</f>
        <v>679.75215</v>
      </c>
      <c r="G220" s="19" t="s">
        <v>663</v>
      </c>
      <c r="H220" s="21" t="n">
        <v>1</v>
      </c>
      <c r="I220" s="19"/>
      <c r="J220" s="21"/>
      <c r="K220" s="19"/>
      <c r="L220" s="21"/>
      <c r="M220" s="22" t="n">
        <f aca="false">IF(G220="",0,H220*INDEX(Materials!$E:$E,MATCH(G220,Materials!$A:$A,0)))+IF(I220="",0,J220*INDEX(Materials!$E:$E,MATCH(I220,Materials!$A:$A,0)))+IF(K220="",0,L220*INDEX(Materials!$E:$E,MATCH(K220,Materials!$A:$A,0)))</f>
        <v>2100</v>
      </c>
      <c r="N220" s="23" t="n">
        <v>180</v>
      </c>
      <c r="O220" s="19"/>
      <c r="P220" s="21"/>
      <c r="Q220" s="22" t="n">
        <f aca="false">IF(O220="",0,P220*INDEX(Plant!$D:$D,MATCH(O220,Plant!$A:$A,0)))</f>
        <v>0</v>
      </c>
      <c r="R220" s="24" t="n">
        <f aca="false">F220+M220+N220+Q220</f>
        <v>2959.75215</v>
      </c>
      <c r="S220" s="22" t="n">
        <f aca="false">R220*Settings!$B$4*Settings!$B$9</f>
        <v>2959.75215</v>
      </c>
      <c r="T220" s="24" t="n">
        <f aca="false">S220*(1+Settings!$B$10)</f>
        <v>3462.9100155</v>
      </c>
    </row>
    <row r="221" customFormat="false" ht="15" hidden="false" customHeight="false" outlineLevel="0" collapsed="false">
      <c r="A221" s="19" t="s">
        <v>664</v>
      </c>
      <c r="B221" s="20" t="s">
        <v>665</v>
      </c>
      <c r="C221" s="19" t="s">
        <v>96</v>
      </c>
      <c r="D221" s="19" t="s">
        <v>151</v>
      </c>
      <c r="E221" s="21" t="n">
        <v>2.5</v>
      </c>
      <c r="F221" s="22" t="n">
        <f aca="false">IF(D221="",0,E221*INDEX(Gangs!$D:$D,MATCH(D221,Gangs!$A:$A,0)))</f>
        <v>566.460125</v>
      </c>
      <c r="G221" s="19" t="s">
        <v>666</v>
      </c>
      <c r="H221" s="21" t="n">
        <v>1</v>
      </c>
      <c r="I221" s="19" t="s">
        <v>667</v>
      </c>
      <c r="J221" s="21" t="n">
        <v>1</v>
      </c>
      <c r="K221" s="19"/>
      <c r="L221" s="21"/>
      <c r="M221" s="22" t="n">
        <f aca="false">IF(G221="",0,H221*INDEX(Materials!$E:$E,MATCH(G221,Materials!$A:$A,0)))+IF(I221="",0,J221*INDEX(Materials!$E:$E,MATCH(I221,Materials!$A:$A,0)))+IF(K221="",0,L221*INDEX(Materials!$E:$E,MATCH(K221,Materials!$A:$A,0)))</f>
        <v>1600</v>
      </c>
      <c r="N221" s="23" t="n">
        <v>150</v>
      </c>
      <c r="O221" s="19"/>
      <c r="P221" s="21"/>
      <c r="Q221" s="22" t="n">
        <f aca="false">IF(O221="",0,P221*INDEX(Plant!$D:$D,MATCH(O221,Plant!$A:$A,0)))</f>
        <v>0</v>
      </c>
      <c r="R221" s="24" t="n">
        <f aca="false">F221+M221+N221+Q221</f>
        <v>2316.460125</v>
      </c>
      <c r="S221" s="22" t="n">
        <f aca="false">R221*Settings!$B$4*Settings!$B$9</f>
        <v>2316.460125</v>
      </c>
      <c r="T221" s="24" t="n">
        <f aca="false">S221*(1+Settings!$B$10)</f>
        <v>2710.25834625</v>
      </c>
    </row>
    <row r="222" customFormat="false" ht="15" hidden="false" customHeight="false" outlineLevel="0" collapsed="false">
      <c r="A222" s="19" t="s">
        <v>668</v>
      </c>
      <c r="B222" s="20" t="s">
        <v>669</v>
      </c>
      <c r="C222" s="19" t="s">
        <v>96</v>
      </c>
      <c r="D222" s="19" t="s">
        <v>151</v>
      </c>
      <c r="E222" s="21" t="n">
        <v>4</v>
      </c>
      <c r="F222" s="22" t="n">
        <f aca="false">IF(D222="",0,E222*INDEX(Gangs!$D:$D,MATCH(D222,Gangs!$A:$A,0)))</f>
        <v>906.3362</v>
      </c>
      <c r="G222" s="19" t="s">
        <v>670</v>
      </c>
      <c r="H222" s="21" t="n">
        <v>1</v>
      </c>
      <c r="I222" s="19" t="s">
        <v>671</v>
      </c>
      <c r="J222" s="21" t="n">
        <v>1</v>
      </c>
      <c r="K222" s="19"/>
      <c r="L222" s="21"/>
      <c r="M222" s="22" t="n">
        <f aca="false">IF(G222="",0,H222*INDEX(Materials!$E:$E,MATCH(G222,Materials!$A:$A,0)))+IF(I222="",0,J222*INDEX(Materials!$E:$E,MATCH(I222,Materials!$A:$A,0)))+IF(K222="",0,L222*INDEX(Materials!$E:$E,MATCH(K222,Materials!$A:$A,0)))</f>
        <v>3850</v>
      </c>
      <c r="N222" s="23" t="n">
        <v>250</v>
      </c>
      <c r="O222" s="19"/>
      <c r="P222" s="21"/>
      <c r="Q222" s="22" t="n">
        <f aca="false">IF(O222="",0,P222*INDEX(Plant!$D:$D,MATCH(O222,Plant!$A:$A,0)))</f>
        <v>0</v>
      </c>
      <c r="R222" s="24" t="n">
        <f aca="false">F222+M222+N222+Q222</f>
        <v>5006.3362</v>
      </c>
      <c r="S222" s="22" t="n">
        <f aca="false">R222*Settings!$B$4*Settings!$B$9</f>
        <v>5006.3362</v>
      </c>
      <c r="T222" s="24" t="n">
        <f aca="false">S222*(1+Settings!$B$10)</f>
        <v>5857.413354</v>
      </c>
    </row>
    <row r="223" customFormat="false" ht="15" hidden="false" customHeight="false" outlineLevel="0" collapsed="false">
      <c r="A223" s="19" t="s">
        <v>672</v>
      </c>
      <c r="B223" s="20" t="s">
        <v>673</v>
      </c>
      <c r="C223" s="19" t="s">
        <v>96</v>
      </c>
      <c r="D223" s="19" t="s">
        <v>151</v>
      </c>
      <c r="E223" s="21" t="n">
        <v>3</v>
      </c>
      <c r="F223" s="22" t="n">
        <f aca="false">IF(D223="",0,E223*INDEX(Gangs!$D:$D,MATCH(D223,Gangs!$A:$A,0)))</f>
        <v>679.75215</v>
      </c>
      <c r="G223" s="19" t="s">
        <v>674</v>
      </c>
      <c r="H223" s="21" t="n">
        <v>1</v>
      </c>
      <c r="I223" s="19"/>
      <c r="J223" s="21"/>
      <c r="K223" s="19"/>
      <c r="L223" s="21"/>
      <c r="M223" s="22" t="n">
        <f aca="false">IF(G223="",0,H223*INDEX(Materials!$E:$E,MATCH(G223,Materials!$A:$A,0)))+IF(I223="",0,J223*INDEX(Materials!$E:$E,MATCH(I223,Materials!$A:$A,0)))+IF(K223="",0,L223*INDEX(Materials!$E:$E,MATCH(K223,Materials!$A:$A,0)))</f>
        <v>1900</v>
      </c>
      <c r="N223" s="23" t="n">
        <v>200</v>
      </c>
      <c r="O223" s="19"/>
      <c r="P223" s="21"/>
      <c r="Q223" s="22" t="n">
        <f aca="false">IF(O223="",0,P223*INDEX(Plant!$D:$D,MATCH(O223,Plant!$A:$A,0)))</f>
        <v>0</v>
      </c>
      <c r="R223" s="24" t="n">
        <f aca="false">F223+M223+N223+Q223</f>
        <v>2779.75215</v>
      </c>
      <c r="S223" s="22" t="n">
        <f aca="false">R223*Settings!$B$4*Settings!$B$9</f>
        <v>2779.75215</v>
      </c>
      <c r="T223" s="24" t="n">
        <f aca="false">S223*(1+Settings!$B$10)</f>
        <v>3252.3100155</v>
      </c>
    </row>
    <row r="224" customFormat="false" ht="15" hidden="false" customHeight="false" outlineLevel="0" collapsed="false">
      <c r="A224" s="19" t="s">
        <v>675</v>
      </c>
      <c r="B224" s="20" t="s">
        <v>676</v>
      </c>
      <c r="C224" s="19" t="s">
        <v>96</v>
      </c>
      <c r="D224" s="19"/>
      <c r="E224" s="21"/>
      <c r="F224" s="22" t="n">
        <f aca="false">IF(D224="",0,E224*INDEX(Gangs!$D:$D,MATCH(D224,Gangs!$A:$A,0)))</f>
        <v>0</v>
      </c>
      <c r="G224" s="19" t="s">
        <v>677</v>
      </c>
      <c r="H224" s="21" t="n">
        <v>1</v>
      </c>
      <c r="I224" s="19"/>
      <c r="J224" s="21"/>
      <c r="K224" s="19"/>
      <c r="L224" s="21"/>
      <c r="M224" s="22" t="n">
        <f aca="false">IF(G224="",0,H224*INDEX(Materials!$E:$E,MATCH(G224,Materials!$A:$A,0)))+IF(I224="",0,J224*INDEX(Materials!$E:$E,MATCH(I224,Materials!$A:$A,0)))+IF(K224="",0,L224*INDEX(Materials!$E:$E,MATCH(K224,Materials!$A:$A,0)))</f>
        <v>7500</v>
      </c>
      <c r="N224" s="23" t="n">
        <v>0</v>
      </c>
      <c r="O224" s="19"/>
      <c r="P224" s="21"/>
      <c r="Q224" s="22" t="n">
        <f aca="false">IF(O224="",0,P224*INDEX(Plant!$D:$D,MATCH(O224,Plant!$A:$A,0)))</f>
        <v>0</v>
      </c>
      <c r="R224" s="24" t="n">
        <f aca="false">F224+M224+N224+Q224</f>
        <v>7500</v>
      </c>
      <c r="S224" s="22" t="n">
        <f aca="false">R224*Settings!$B$4*Settings!$B$9</f>
        <v>7500</v>
      </c>
      <c r="T224" s="24" t="n">
        <f aca="false">S224*(1+Settings!$B$10)</f>
        <v>8775</v>
      </c>
    </row>
    <row r="225" customFormat="false" ht="15" hidden="false" customHeight="false" outlineLevel="0" collapsed="false">
      <c r="A225" s="19" t="s">
        <v>678</v>
      </c>
      <c r="B225" s="20" t="s">
        <v>679</v>
      </c>
      <c r="C225" s="19" t="s">
        <v>96</v>
      </c>
      <c r="D225" s="19" t="s">
        <v>151</v>
      </c>
      <c r="E225" s="21" t="n">
        <v>2.5</v>
      </c>
      <c r="F225" s="22" t="n">
        <f aca="false">IF(D225="",0,E225*INDEX(Gangs!$D:$D,MATCH(D225,Gangs!$A:$A,0)))</f>
        <v>566.460125</v>
      </c>
      <c r="G225" s="19" t="s">
        <v>680</v>
      </c>
      <c r="H225" s="21" t="n">
        <v>1</v>
      </c>
      <c r="I225" s="19" t="s">
        <v>681</v>
      </c>
      <c r="J225" s="21" t="n">
        <v>1</v>
      </c>
      <c r="K225" s="19"/>
      <c r="L225" s="21"/>
      <c r="M225" s="22" t="n">
        <f aca="false">IF(G225="",0,H225*INDEX(Materials!$E:$E,MATCH(G225,Materials!$A:$A,0)))+IF(I225="",0,J225*INDEX(Materials!$E:$E,MATCH(I225,Materials!$A:$A,0)))+IF(K225="",0,L225*INDEX(Materials!$E:$E,MATCH(K225,Materials!$A:$A,0)))</f>
        <v>2130</v>
      </c>
      <c r="N225" s="23" t="n">
        <v>150</v>
      </c>
      <c r="O225" s="19"/>
      <c r="P225" s="21"/>
      <c r="Q225" s="22" t="n">
        <f aca="false">IF(O225="",0,P225*INDEX(Plant!$D:$D,MATCH(O225,Plant!$A:$A,0)))</f>
        <v>0</v>
      </c>
      <c r="R225" s="24" t="n">
        <f aca="false">F225+M225+N225+Q225</f>
        <v>2846.460125</v>
      </c>
      <c r="S225" s="22" t="n">
        <f aca="false">R225*Settings!$B$4*Settings!$B$9</f>
        <v>2846.460125</v>
      </c>
      <c r="T225" s="24" t="n">
        <f aca="false">S225*(1+Settings!$B$10)</f>
        <v>3330.35834625</v>
      </c>
    </row>
    <row r="226" customFormat="false" ht="15" hidden="false" customHeight="false" outlineLevel="0" collapsed="false">
      <c r="A226" s="19" t="s">
        <v>682</v>
      </c>
      <c r="B226" s="20" t="s">
        <v>683</v>
      </c>
      <c r="C226" s="19" t="s">
        <v>96</v>
      </c>
      <c r="D226" s="19" t="s">
        <v>151</v>
      </c>
      <c r="E226" s="21" t="n">
        <v>5</v>
      </c>
      <c r="F226" s="22" t="n">
        <f aca="false">IF(D226="",0,E226*INDEX(Gangs!$D:$D,MATCH(D226,Gangs!$A:$A,0)))</f>
        <v>1132.92025</v>
      </c>
      <c r="G226" s="19" t="s">
        <v>684</v>
      </c>
      <c r="H226" s="21" t="n">
        <v>1</v>
      </c>
      <c r="I226" s="19" t="s">
        <v>685</v>
      </c>
      <c r="J226" s="21" t="n">
        <v>1</v>
      </c>
      <c r="K226" s="19"/>
      <c r="L226" s="21"/>
      <c r="M226" s="22" t="n">
        <f aca="false">IF(G226="",0,H226*INDEX(Materials!$E:$E,MATCH(G226,Materials!$A:$A,0)))+IF(I226="",0,J226*INDEX(Materials!$E:$E,MATCH(I226,Materials!$A:$A,0)))+IF(K226="",0,L226*INDEX(Materials!$E:$E,MATCH(K226,Materials!$A:$A,0)))</f>
        <v>8250</v>
      </c>
      <c r="N226" s="23" t="n">
        <v>0</v>
      </c>
      <c r="O226" s="19"/>
      <c r="P226" s="21"/>
      <c r="Q226" s="22" t="n">
        <f aca="false">IF(O226="",0,P226*INDEX(Plant!$D:$D,MATCH(O226,Plant!$A:$A,0)))</f>
        <v>0</v>
      </c>
      <c r="R226" s="24" t="n">
        <f aca="false">F226+M226+N226+Q226</f>
        <v>9382.92025</v>
      </c>
      <c r="S226" s="22" t="n">
        <f aca="false">R226*Settings!$B$4*Settings!$B$9</f>
        <v>9382.92025</v>
      </c>
      <c r="T226" s="24" t="n">
        <f aca="false">S226*(1+Settings!$B$10)</f>
        <v>10978.0166925</v>
      </c>
    </row>
    <row r="227" customFormat="false" ht="15" hidden="false" customHeight="false" outlineLevel="0" collapsed="false">
      <c r="A227" s="19" t="s">
        <v>686</v>
      </c>
      <c r="B227" s="20" t="s">
        <v>687</v>
      </c>
      <c r="C227" s="19" t="s">
        <v>96</v>
      </c>
      <c r="D227" s="19" t="s">
        <v>151</v>
      </c>
      <c r="E227" s="21" t="n">
        <v>5.5</v>
      </c>
      <c r="F227" s="22" t="n">
        <f aca="false">IF(D227="",0,E227*INDEX(Gangs!$D:$D,MATCH(D227,Gangs!$A:$A,0)))</f>
        <v>1246.212275</v>
      </c>
      <c r="G227" s="19" t="s">
        <v>688</v>
      </c>
      <c r="H227" s="21" t="n">
        <v>1</v>
      </c>
      <c r="I227" s="19" t="s">
        <v>685</v>
      </c>
      <c r="J227" s="21" t="n">
        <v>1</v>
      </c>
      <c r="K227" s="19"/>
      <c r="L227" s="21"/>
      <c r="M227" s="22" t="n">
        <f aca="false">IF(G227="",0,H227*INDEX(Materials!$E:$E,MATCH(G227,Materials!$A:$A,0)))+IF(I227="",0,J227*INDEX(Materials!$E:$E,MATCH(I227,Materials!$A:$A,0)))+IF(K227="",0,L227*INDEX(Materials!$E:$E,MATCH(K227,Materials!$A:$A,0)))</f>
        <v>9950</v>
      </c>
      <c r="N227" s="23" t="n">
        <v>0</v>
      </c>
      <c r="O227" s="19"/>
      <c r="P227" s="21"/>
      <c r="Q227" s="22" t="n">
        <f aca="false">IF(O227="",0,P227*INDEX(Plant!$D:$D,MATCH(O227,Plant!$A:$A,0)))</f>
        <v>0</v>
      </c>
      <c r="R227" s="24" t="n">
        <f aca="false">F227+M227+N227+Q227</f>
        <v>11196.212275</v>
      </c>
      <c r="S227" s="22" t="n">
        <f aca="false">R227*Settings!$B$4*Settings!$B$9</f>
        <v>11196.212275</v>
      </c>
      <c r="T227" s="24" t="n">
        <f aca="false">S227*(1+Settings!$B$10)</f>
        <v>13099.56836175</v>
      </c>
    </row>
    <row r="228" customFormat="false" ht="15" hidden="false" customHeight="false" outlineLevel="0" collapsed="false">
      <c r="A228" s="19" t="s">
        <v>689</v>
      </c>
      <c r="B228" s="20" t="s">
        <v>690</v>
      </c>
      <c r="C228" s="19" t="s">
        <v>96</v>
      </c>
      <c r="D228" s="19"/>
      <c r="E228" s="21"/>
      <c r="F228" s="22" t="n">
        <f aca="false">IF(D228="",0,E228*INDEX(Gangs!$D:$D,MATCH(D228,Gangs!$A:$A,0)))</f>
        <v>0</v>
      </c>
      <c r="G228" s="19" t="s">
        <v>691</v>
      </c>
      <c r="H228" s="21" t="n">
        <v>1</v>
      </c>
      <c r="I228" s="19"/>
      <c r="J228" s="21"/>
      <c r="K228" s="19"/>
      <c r="L228" s="21"/>
      <c r="M228" s="22" t="n">
        <f aca="false">IF(G228="",0,H228*INDEX(Materials!$E:$E,MATCH(G228,Materials!$A:$A,0)))+IF(I228="",0,J228*INDEX(Materials!$E:$E,MATCH(I228,Materials!$A:$A,0)))+IF(K228="",0,L228*INDEX(Materials!$E:$E,MATCH(K228,Materials!$A:$A,0)))</f>
        <v>26000</v>
      </c>
      <c r="N228" s="23" t="n">
        <v>0</v>
      </c>
      <c r="O228" s="19"/>
      <c r="P228" s="21"/>
      <c r="Q228" s="22" t="n">
        <f aca="false">IF(O228="",0,P228*INDEX(Plant!$D:$D,MATCH(O228,Plant!$A:$A,0)))</f>
        <v>0</v>
      </c>
      <c r="R228" s="24" t="n">
        <f aca="false">F228+M228+N228+Q228</f>
        <v>26000</v>
      </c>
      <c r="S228" s="22" t="n">
        <f aca="false">R228*Settings!$B$4*Settings!$B$9</f>
        <v>26000</v>
      </c>
      <c r="T228" s="24" t="n">
        <f aca="false">S228*(1+Settings!$B$10)</f>
        <v>30420</v>
      </c>
    </row>
    <row r="229" customFormat="false" ht="15" hidden="false" customHeight="false" outlineLevel="0" collapsed="false">
      <c r="A229" s="19" t="s">
        <v>692</v>
      </c>
      <c r="B229" s="20" t="s">
        <v>693</v>
      </c>
      <c r="C229" s="19" t="s">
        <v>96</v>
      </c>
      <c r="D229" s="19"/>
      <c r="E229" s="21"/>
      <c r="F229" s="22" t="n">
        <f aca="false">IF(D229="",0,E229*INDEX(Gangs!$D:$D,MATCH(D229,Gangs!$A:$A,0)))</f>
        <v>0</v>
      </c>
      <c r="G229" s="19" t="s">
        <v>694</v>
      </c>
      <c r="H229" s="21" t="n">
        <v>1</v>
      </c>
      <c r="I229" s="19"/>
      <c r="J229" s="21"/>
      <c r="K229" s="19"/>
      <c r="L229" s="21"/>
      <c r="M229" s="22" t="n">
        <f aca="false">IF(G229="",0,H229*INDEX(Materials!$E:$E,MATCH(G229,Materials!$A:$A,0)))+IF(I229="",0,J229*INDEX(Materials!$E:$E,MATCH(I229,Materials!$A:$A,0)))+IF(K229="",0,L229*INDEX(Materials!$E:$E,MATCH(K229,Materials!$A:$A,0)))</f>
        <v>32000</v>
      </c>
      <c r="N229" s="23" t="n">
        <v>0</v>
      </c>
      <c r="O229" s="19"/>
      <c r="P229" s="21"/>
      <c r="Q229" s="22" t="n">
        <f aca="false">IF(O229="",0,P229*INDEX(Plant!$D:$D,MATCH(O229,Plant!$A:$A,0)))</f>
        <v>0</v>
      </c>
      <c r="R229" s="24" t="n">
        <f aca="false">F229+M229+N229+Q229</f>
        <v>32000</v>
      </c>
      <c r="S229" s="22" t="n">
        <f aca="false">R229*Settings!$B$4*Settings!$B$9</f>
        <v>32000</v>
      </c>
      <c r="T229" s="24" t="n">
        <f aca="false">S229*(1+Settings!$B$10)</f>
        <v>37440</v>
      </c>
    </row>
    <row r="230" customFormat="false" ht="15" hidden="false" customHeight="false" outlineLevel="0" collapsed="false">
      <c r="A230" s="19" t="s">
        <v>695</v>
      </c>
      <c r="B230" s="20" t="s">
        <v>696</v>
      </c>
      <c r="C230" s="19" t="s">
        <v>96</v>
      </c>
      <c r="D230" s="19" t="s">
        <v>151</v>
      </c>
      <c r="E230" s="21" t="n">
        <v>4</v>
      </c>
      <c r="F230" s="22" t="n">
        <f aca="false">IF(D230="",0,E230*INDEX(Gangs!$D:$D,MATCH(D230,Gangs!$A:$A,0)))</f>
        <v>906.3362</v>
      </c>
      <c r="G230" s="19" t="s">
        <v>697</v>
      </c>
      <c r="H230" s="21" t="n">
        <v>1</v>
      </c>
      <c r="I230" s="19"/>
      <c r="J230" s="21"/>
      <c r="K230" s="19"/>
      <c r="L230" s="21"/>
      <c r="M230" s="22" t="n">
        <f aca="false">IF(G230="",0,H230*INDEX(Materials!$E:$E,MATCH(G230,Materials!$A:$A,0)))+IF(I230="",0,J230*INDEX(Materials!$E:$E,MATCH(I230,Materials!$A:$A,0)))+IF(K230="",0,L230*INDEX(Materials!$E:$E,MATCH(K230,Materials!$A:$A,0)))</f>
        <v>7800</v>
      </c>
      <c r="N230" s="23" t="n">
        <v>900</v>
      </c>
      <c r="O230" s="19"/>
      <c r="P230" s="21"/>
      <c r="Q230" s="22" t="n">
        <f aca="false">IF(O230="",0,P230*INDEX(Plant!$D:$D,MATCH(O230,Plant!$A:$A,0)))</f>
        <v>0</v>
      </c>
      <c r="R230" s="24" t="n">
        <f aca="false">F230+M230+N230+Q230</f>
        <v>9606.3362</v>
      </c>
      <c r="S230" s="22" t="n">
        <f aca="false">R230*Settings!$B$4*Settings!$B$9</f>
        <v>9606.3362</v>
      </c>
      <c r="T230" s="24" t="n">
        <f aca="false">S230*(1+Settings!$B$10)</f>
        <v>11239.413354</v>
      </c>
    </row>
    <row r="231" customFormat="false" ht="15" hidden="false" customHeight="false" outlineLevel="0" collapsed="false">
      <c r="A231" s="19" t="s">
        <v>698</v>
      </c>
      <c r="B231" s="20" t="s">
        <v>699</v>
      </c>
      <c r="C231" s="19" t="s">
        <v>96</v>
      </c>
      <c r="D231" s="19" t="s">
        <v>151</v>
      </c>
      <c r="E231" s="21" t="n">
        <v>1</v>
      </c>
      <c r="F231" s="22" t="n">
        <f aca="false">IF(D231="",0,E231*INDEX(Gangs!$D:$D,MATCH(D231,Gangs!$A:$A,0)))</f>
        <v>226.58405</v>
      </c>
      <c r="G231" s="19" t="s">
        <v>700</v>
      </c>
      <c r="H231" s="21" t="n">
        <v>1</v>
      </c>
      <c r="I231" s="19"/>
      <c r="J231" s="21"/>
      <c r="K231" s="19"/>
      <c r="L231" s="21"/>
      <c r="M231" s="22" t="n">
        <f aca="false">IF(G231="",0,H231*INDEX(Materials!$E:$E,MATCH(G231,Materials!$A:$A,0)))+IF(I231="",0,J231*INDEX(Materials!$E:$E,MATCH(I231,Materials!$A:$A,0)))+IF(K231="",0,L231*INDEX(Materials!$E:$E,MATCH(K231,Materials!$A:$A,0)))</f>
        <v>120</v>
      </c>
      <c r="N231" s="23" t="n">
        <v>80</v>
      </c>
      <c r="O231" s="19"/>
      <c r="P231" s="21"/>
      <c r="Q231" s="22" t="n">
        <f aca="false">IF(O231="",0,P231*INDEX(Plant!$D:$D,MATCH(O231,Plant!$A:$A,0)))</f>
        <v>0</v>
      </c>
      <c r="R231" s="24" t="n">
        <f aca="false">F231+M231+N231+Q231</f>
        <v>426.58405</v>
      </c>
      <c r="S231" s="22" t="n">
        <f aca="false">R231*Settings!$B$4*Settings!$B$9</f>
        <v>426.58405</v>
      </c>
      <c r="T231" s="24" t="n">
        <f aca="false">S231*(1+Settings!$B$10)</f>
        <v>499.1033385</v>
      </c>
    </row>
    <row r="232" customFormat="false" ht="15" hidden="false" customHeight="false" outlineLevel="0" collapsed="false">
      <c r="A232" s="19" t="s">
        <v>701</v>
      </c>
      <c r="B232" s="20" t="s">
        <v>702</v>
      </c>
      <c r="C232" s="19" t="s">
        <v>96</v>
      </c>
      <c r="D232" s="19" t="s">
        <v>151</v>
      </c>
      <c r="E232" s="21" t="n">
        <v>0.5</v>
      </c>
      <c r="F232" s="22" t="n">
        <f aca="false">IF(D232="",0,E232*INDEX(Gangs!$D:$D,MATCH(D232,Gangs!$A:$A,0)))</f>
        <v>113.292025</v>
      </c>
      <c r="G232" s="19" t="s">
        <v>703</v>
      </c>
      <c r="H232" s="21" t="n">
        <v>1</v>
      </c>
      <c r="I232" s="19"/>
      <c r="J232" s="21"/>
      <c r="K232" s="19"/>
      <c r="L232" s="21"/>
      <c r="M232" s="22" t="n">
        <f aca="false">IF(G232="",0,H232*INDEX(Materials!$E:$E,MATCH(G232,Materials!$A:$A,0)))+IF(I232="",0,J232*INDEX(Materials!$E:$E,MATCH(I232,Materials!$A:$A,0)))+IF(K232="",0,L232*INDEX(Materials!$E:$E,MATCH(K232,Materials!$A:$A,0)))</f>
        <v>190</v>
      </c>
      <c r="N232" s="23" t="n">
        <v>0</v>
      </c>
      <c r="O232" s="19"/>
      <c r="P232" s="21"/>
      <c r="Q232" s="22" t="n">
        <f aca="false">IF(O232="",0,P232*INDEX(Plant!$D:$D,MATCH(O232,Plant!$A:$A,0)))</f>
        <v>0</v>
      </c>
      <c r="R232" s="24" t="n">
        <f aca="false">F232+M232+N232+Q232</f>
        <v>303.292025</v>
      </c>
      <c r="S232" s="22" t="n">
        <f aca="false">R232*Settings!$B$4*Settings!$B$9</f>
        <v>303.292025</v>
      </c>
      <c r="T232" s="24" t="n">
        <f aca="false">S232*(1+Settings!$B$10)</f>
        <v>354.85166925</v>
      </c>
    </row>
    <row r="233" customFormat="false" ht="15" hidden="false" customHeight="false" outlineLevel="0" collapsed="false">
      <c r="A233" s="19" t="s">
        <v>704</v>
      </c>
      <c r="B233" s="20" t="s">
        <v>705</v>
      </c>
      <c r="C233" s="19" t="s">
        <v>96</v>
      </c>
      <c r="D233" s="19" t="s">
        <v>151</v>
      </c>
      <c r="E233" s="21" t="n">
        <v>6</v>
      </c>
      <c r="F233" s="22" t="n">
        <f aca="false">IF(D233="",0,E233*INDEX(Gangs!$D:$D,MATCH(D233,Gangs!$A:$A,0)))</f>
        <v>1359.5043</v>
      </c>
      <c r="G233" s="19" t="s">
        <v>706</v>
      </c>
      <c r="H233" s="21" t="n">
        <v>1</v>
      </c>
      <c r="I233" s="19"/>
      <c r="J233" s="21"/>
      <c r="K233" s="19"/>
      <c r="L233" s="21"/>
      <c r="M233" s="22" t="n">
        <f aca="false">IF(G233="",0,H233*INDEX(Materials!$E:$E,MATCH(G233,Materials!$A:$A,0)))+IF(I233="",0,J233*INDEX(Materials!$E:$E,MATCH(I233,Materials!$A:$A,0)))+IF(K233="",0,L233*INDEX(Materials!$E:$E,MATCH(K233,Materials!$A:$A,0)))</f>
        <v>9500</v>
      </c>
      <c r="N233" s="23" t="n">
        <v>3500</v>
      </c>
      <c r="O233" s="19" t="s">
        <v>167</v>
      </c>
      <c r="P233" s="21" t="n">
        <v>4</v>
      </c>
      <c r="Q233" s="22" t="n">
        <f aca="false">IF(O233="",0,P233*INDEX(Plant!$D:$D,MATCH(O233,Plant!$A:$A,0)))</f>
        <v>2080</v>
      </c>
      <c r="R233" s="24" t="n">
        <f aca="false">F233+M233+N233+Q233</f>
        <v>16439.5043</v>
      </c>
      <c r="S233" s="22" t="n">
        <f aca="false">R233*Settings!$B$4*Settings!$B$9</f>
        <v>16439.5043</v>
      </c>
      <c r="T233" s="24" t="n">
        <f aca="false">S233*(1+Settings!$B$10)</f>
        <v>19234.220031</v>
      </c>
    </row>
    <row r="234" customFormat="false" ht="15" hidden="false" customHeight="false" outlineLevel="0" collapsed="false">
      <c r="A234" s="19" t="s">
        <v>707</v>
      </c>
      <c r="B234" s="20" t="s">
        <v>708</v>
      </c>
      <c r="C234" s="19" t="s">
        <v>74</v>
      </c>
      <c r="D234" s="19"/>
      <c r="E234" s="21"/>
      <c r="F234" s="22" t="n">
        <f aca="false">IF(D234="",0,E234*INDEX(Gangs!$D:$D,MATCH(D234,Gangs!$A:$A,0)))</f>
        <v>0</v>
      </c>
      <c r="G234" s="19"/>
      <c r="H234" s="21"/>
      <c r="I234" s="19"/>
      <c r="J234" s="21"/>
      <c r="K234" s="19"/>
      <c r="L234" s="21"/>
      <c r="M234" s="22" t="n">
        <f aca="false">IF(G234="",0,H234*INDEX(Materials!$E:$E,MATCH(G234,Materials!$A:$A,0)))+IF(I234="",0,J234*INDEX(Materials!$E:$E,MATCH(I234,Materials!$A:$A,0)))+IF(K234="",0,L234*INDEX(Materials!$E:$E,MATCH(K234,Materials!$A:$A,0)))</f>
        <v>0</v>
      </c>
      <c r="N234" s="23" t="n">
        <v>4500</v>
      </c>
      <c r="O234" s="19"/>
      <c r="P234" s="21"/>
      <c r="Q234" s="22" t="n">
        <f aca="false">IF(O234="",0,P234*INDEX(Plant!$D:$D,MATCH(O234,Plant!$A:$A,0)))</f>
        <v>0</v>
      </c>
      <c r="R234" s="24" t="n">
        <f aca="false">F234+M234+N234+Q234</f>
        <v>4500</v>
      </c>
      <c r="S234" s="22" t="n">
        <f aca="false">R234*Settings!$B$4*Settings!$B$9</f>
        <v>4500</v>
      </c>
      <c r="T234" s="24" t="n">
        <f aca="false">S234*(1+Settings!$B$10)</f>
        <v>5265</v>
      </c>
    </row>
    <row r="235" customFormat="false" ht="15" hidden="false" customHeight="false" outlineLevel="0" collapsed="false">
      <c r="A235" s="19" t="s">
        <v>709</v>
      </c>
      <c r="B235" s="20" t="s">
        <v>710</v>
      </c>
      <c r="C235" s="19" t="s">
        <v>96</v>
      </c>
      <c r="D235" s="19" t="s">
        <v>151</v>
      </c>
      <c r="E235" s="21" t="n">
        <v>1.5</v>
      </c>
      <c r="F235" s="22" t="n">
        <f aca="false">IF(D235="",0,E235*INDEX(Gangs!$D:$D,MATCH(D235,Gangs!$A:$A,0)))</f>
        <v>339.876075</v>
      </c>
      <c r="G235" s="19" t="s">
        <v>711</v>
      </c>
      <c r="H235" s="21" t="n">
        <v>1</v>
      </c>
      <c r="I235" s="19"/>
      <c r="J235" s="21"/>
      <c r="K235" s="19"/>
      <c r="L235" s="21"/>
      <c r="M235" s="22" t="n">
        <f aca="false">IF(G235="",0,H235*INDEX(Materials!$E:$E,MATCH(G235,Materials!$A:$A,0)))+IF(I235="",0,J235*INDEX(Materials!$E:$E,MATCH(I235,Materials!$A:$A,0)))+IF(K235="",0,L235*INDEX(Materials!$E:$E,MATCH(K235,Materials!$A:$A,0)))</f>
        <v>650</v>
      </c>
      <c r="N235" s="23" t="n">
        <v>0</v>
      </c>
      <c r="O235" s="19"/>
      <c r="P235" s="21"/>
      <c r="Q235" s="22" t="n">
        <f aca="false">IF(O235="",0,P235*INDEX(Plant!$D:$D,MATCH(O235,Plant!$A:$A,0)))</f>
        <v>0</v>
      </c>
      <c r="R235" s="24" t="n">
        <f aca="false">F235+M235+N235+Q235</f>
        <v>989.876075</v>
      </c>
      <c r="S235" s="22" t="n">
        <f aca="false">R235*Settings!$B$4*Settings!$B$9</f>
        <v>989.876075</v>
      </c>
      <c r="T235" s="24" t="n">
        <f aca="false">S235*(1+Settings!$B$10)</f>
        <v>1158.15500775</v>
      </c>
    </row>
    <row r="236" customFormat="false" ht="15" hidden="false" customHeight="false" outlineLevel="0" collapsed="false">
      <c r="A236" s="17" t="s">
        <v>712</v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 customFormat="false" ht="15" hidden="false" customHeight="false" outlineLevel="0" collapsed="false">
      <c r="A237" s="19" t="s">
        <v>713</v>
      </c>
      <c r="B237" s="20" t="s">
        <v>714</v>
      </c>
      <c r="C237" s="19" t="s">
        <v>96</v>
      </c>
      <c r="D237" s="19" t="s">
        <v>715</v>
      </c>
      <c r="E237" s="21" t="n">
        <v>1.2</v>
      </c>
      <c r="F237" s="22" t="n">
        <f aca="false">IF(D237="",0,E237*INDEX(Gangs!$D:$D,MATCH(D237,Gangs!$A:$A,0)))</f>
        <v>298.73166</v>
      </c>
      <c r="G237" s="19" t="s">
        <v>716</v>
      </c>
      <c r="H237" s="21" t="n">
        <v>1</v>
      </c>
      <c r="I237" s="19"/>
      <c r="J237" s="21"/>
      <c r="K237" s="19"/>
      <c r="L237" s="21"/>
      <c r="M237" s="22" t="n">
        <f aca="false">IF(G237="",0,H237*INDEX(Materials!$E:$E,MATCH(G237,Materials!$A:$A,0)))+IF(I237="",0,J237*INDEX(Materials!$E:$E,MATCH(I237,Materials!$A:$A,0)))+IF(K237="",0,L237*INDEX(Materials!$E:$E,MATCH(K237,Materials!$A:$A,0)))</f>
        <v>185</v>
      </c>
      <c r="N237" s="23" t="n">
        <v>0</v>
      </c>
      <c r="O237" s="19"/>
      <c r="P237" s="21"/>
      <c r="Q237" s="22" t="n">
        <f aca="false">IF(O237="",0,P237*INDEX(Plant!$D:$D,MATCH(O237,Plant!$A:$A,0)))</f>
        <v>0</v>
      </c>
      <c r="R237" s="24" t="n">
        <f aca="false">F237+M237+N237+Q237</f>
        <v>483.73166</v>
      </c>
      <c r="S237" s="22" t="n">
        <f aca="false">R237*Settings!$B$4*Settings!$B$9</f>
        <v>483.73166</v>
      </c>
      <c r="T237" s="24" t="n">
        <f aca="false">S237*(1+Settings!$B$10)</f>
        <v>565.9660422</v>
      </c>
    </row>
    <row r="238" customFormat="false" ht="15" hidden="false" customHeight="false" outlineLevel="0" collapsed="false">
      <c r="A238" s="19" t="s">
        <v>717</v>
      </c>
      <c r="B238" s="20" t="s">
        <v>718</v>
      </c>
      <c r="C238" s="19" t="s">
        <v>96</v>
      </c>
      <c r="D238" s="19" t="s">
        <v>715</v>
      </c>
      <c r="E238" s="21" t="n">
        <v>0.25</v>
      </c>
      <c r="F238" s="22" t="n">
        <f aca="false">IF(D238="",0,E238*INDEX(Gangs!$D:$D,MATCH(D238,Gangs!$A:$A,0)))</f>
        <v>62.2357625</v>
      </c>
      <c r="G238" s="19" t="s">
        <v>719</v>
      </c>
      <c r="H238" s="21" t="n">
        <v>1</v>
      </c>
      <c r="I238" s="19"/>
      <c r="J238" s="21"/>
      <c r="K238" s="19"/>
      <c r="L238" s="21"/>
      <c r="M238" s="22" t="n">
        <f aca="false">IF(G238="",0,H238*INDEX(Materials!$E:$E,MATCH(G238,Materials!$A:$A,0)))+IF(I238="",0,J238*INDEX(Materials!$E:$E,MATCH(I238,Materials!$A:$A,0)))+IF(K238="",0,L238*INDEX(Materials!$E:$E,MATCH(K238,Materials!$A:$A,0)))</f>
        <v>85</v>
      </c>
      <c r="N238" s="23" t="n">
        <v>0</v>
      </c>
      <c r="O238" s="19"/>
      <c r="P238" s="21"/>
      <c r="Q238" s="22" t="n">
        <f aca="false">IF(O238="",0,P238*INDEX(Plant!$D:$D,MATCH(O238,Plant!$A:$A,0)))</f>
        <v>0</v>
      </c>
      <c r="R238" s="24" t="n">
        <f aca="false">F238+M238+N238+Q238</f>
        <v>147.2357625</v>
      </c>
      <c r="S238" s="22" t="n">
        <f aca="false">R238*Settings!$B$4*Settings!$B$9</f>
        <v>147.2357625</v>
      </c>
      <c r="T238" s="24" t="n">
        <f aca="false">S238*(1+Settings!$B$10)</f>
        <v>172.265842125</v>
      </c>
    </row>
    <row r="239" customFormat="false" ht="15" hidden="false" customHeight="false" outlineLevel="0" collapsed="false">
      <c r="A239" s="19" t="s">
        <v>720</v>
      </c>
      <c r="B239" s="20" t="s">
        <v>721</v>
      </c>
      <c r="C239" s="19" t="s">
        <v>96</v>
      </c>
      <c r="D239" s="19" t="s">
        <v>715</v>
      </c>
      <c r="E239" s="21" t="n">
        <v>0.3</v>
      </c>
      <c r="F239" s="22" t="n">
        <f aca="false">IF(D239="",0,E239*INDEX(Gangs!$D:$D,MATCH(D239,Gangs!$A:$A,0)))</f>
        <v>74.682915</v>
      </c>
      <c r="G239" s="19" t="s">
        <v>722</v>
      </c>
      <c r="H239" s="21" t="n">
        <v>1</v>
      </c>
      <c r="I239" s="19"/>
      <c r="J239" s="21"/>
      <c r="K239" s="19"/>
      <c r="L239" s="21"/>
      <c r="M239" s="22" t="n">
        <f aca="false">IF(G239="",0,H239*INDEX(Materials!$E:$E,MATCH(G239,Materials!$A:$A,0)))+IF(I239="",0,J239*INDEX(Materials!$E:$E,MATCH(I239,Materials!$A:$A,0)))+IF(K239="",0,L239*INDEX(Materials!$E:$E,MATCH(K239,Materials!$A:$A,0)))</f>
        <v>260</v>
      </c>
      <c r="N239" s="23" t="n">
        <v>0</v>
      </c>
      <c r="O239" s="19"/>
      <c r="P239" s="21"/>
      <c r="Q239" s="22" t="n">
        <f aca="false">IF(O239="",0,P239*INDEX(Plant!$D:$D,MATCH(O239,Plant!$A:$A,0)))</f>
        <v>0</v>
      </c>
      <c r="R239" s="24" t="n">
        <f aca="false">F239+M239+N239+Q239</f>
        <v>334.682915</v>
      </c>
      <c r="S239" s="22" t="n">
        <f aca="false">R239*Settings!$B$4*Settings!$B$9</f>
        <v>334.682915</v>
      </c>
      <c r="T239" s="24" t="n">
        <f aca="false">S239*(1+Settings!$B$10)</f>
        <v>391.57901055</v>
      </c>
    </row>
    <row r="240" customFormat="false" ht="15" hidden="false" customHeight="false" outlineLevel="0" collapsed="false">
      <c r="A240" s="19" t="s">
        <v>723</v>
      </c>
      <c r="B240" s="20" t="s">
        <v>724</v>
      </c>
      <c r="C240" s="19" t="s">
        <v>96</v>
      </c>
      <c r="D240" s="19" t="s">
        <v>715</v>
      </c>
      <c r="E240" s="21" t="n">
        <v>1.4</v>
      </c>
      <c r="F240" s="22" t="n">
        <f aca="false">IF(D240="",0,E240*INDEX(Gangs!$D:$D,MATCH(D240,Gangs!$A:$A,0)))</f>
        <v>348.52027</v>
      </c>
      <c r="G240" s="19" t="s">
        <v>725</v>
      </c>
      <c r="H240" s="21" t="n">
        <v>1</v>
      </c>
      <c r="I240" s="19"/>
      <c r="J240" s="21"/>
      <c r="K240" s="19"/>
      <c r="L240" s="21"/>
      <c r="M240" s="22" t="n">
        <f aca="false">IF(G240="",0,H240*INDEX(Materials!$E:$E,MATCH(G240,Materials!$A:$A,0)))+IF(I240="",0,J240*INDEX(Materials!$E:$E,MATCH(I240,Materials!$A:$A,0)))+IF(K240="",0,L240*INDEX(Materials!$E:$E,MATCH(K240,Materials!$A:$A,0)))</f>
        <v>245</v>
      </c>
      <c r="N240" s="23" t="n">
        <v>0</v>
      </c>
      <c r="O240" s="19"/>
      <c r="P240" s="21"/>
      <c r="Q240" s="22" t="n">
        <f aca="false">IF(O240="",0,P240*INDEX(Plant!$D:$D,MATCH(O240,Plant!$A:$A,0)))</f>
        <v>0</v>
      </c>
      <c r="R240" s="24" t="n">
        <f aca="false">F240+M240+N240+Q240</f>
        <v>593.52027</v>
      </c>
      <c r="S240" s="22" t="n">
        <f aca="false">R240*Settings!$B$4*Settings!$B$9</f>
        <v>593.52027</v>
      </c>
      <c r="T240" s="24" t="n">
        <f aca="false">S240*(1+Settings!$B$10)</f>
        <v>694.4187159</v>
      </c>
    </row>
    <row r="241" customFormat="false" ht="15" hidden="false" customHeight="false" outlineLevel="0" collapsed="false">
      <c r="A241" s="19" t="s">
        <v>726</v>
      </c>
      <c r="B241" s="20" t="s">
        <v>727</v>
      </c>
      <c r="C241" s="19" t="s">
        <v>96</v>
      </c>
      <c r="D241" s="19" t="s">
        <v>715</v>
      </c>
      <c r="E241" s="21" t="n">
        <v>3</v>
      </c>
      <c r="F241" s="22" t="n">
        <f aca="false">IF(D241="",0,E241*INDEX(Gangs!$D:$D,MATCH(D241,Gangs!$A:$A,0)))</f>
        <v>746.82915</v>
      </c>
      <c r="G241" s="19" t="s">
        <v>728</v>
      </c>
      <c r="H241" s="21" t="n">
        <v>1</v>
      </c>
      <c r="I241" s="19"/>
      <c r="J241" s="21"/>
      <c r="K241" s="19"/>
      <c r="L241" s="21"/>
      <c r="M241" s="22" t="n">
        <f aca="false">IF(G241="",0,H241*INDEX(Materials!$E:$E,MATCH(G241,Materials!$A:$A,0)))+IF(I241="",0,J241*INDEX(Materials!$E:$E,MATCH(I241,Materials!$A:$A,0)))+IF(K241="",0,L241*INDEX(Materials!$E:$E,MATCH(K241,Materials!$A:$A,0)))</f>
        <v>950</v>
      </c>
      <c r="N241" s="23" t="n">
        <v>0</v>
      </c>
      <c r="O241" s="19"/>
      <c r="P241" s="21"/>
      <c r="Q241" s="22" t="n">
        <f aca="false">IF(O241="",0,P241*INDEX(Plant!$D:$D,MATCH(O241,Plant!$A:$A,0)))</f>
        <v>0</v>
      </c>
      <c r="R241" s="24" t="n">
        <f aca="false">F241+M241+N241+Q241</f>
        <v>1696.82915</v>
      </c>
      <c r="S241" s="22" t="n">
        <f aca="false">R241*Settings!$B$4*Settings!$B$9</f>
        <v>1696.82915</v>
      </c>
      <c r="T241" s="24" t="n">
        <f aca="false">S241*(1+Settings!$B$10)</f>
        <v>1985.2901055</v>
      </c>
    </row>
    <row r="242" customFormat="false" ht="15" hidden="false" customHeight="false" outlineLevel="0" collapsed="false">
      <c r="A242" s="19" t="s">
        <v>729</v>
      </c>
      <c r="B242" s="20" t="s">
        <v>730</v>
      </c>
      <c r="C242" s="19" t="s">
        <v>96</v>
      </c>
      <c r="D242" s="19" t="s">
        <v>715</v>
      </c>
      <c r="E242" s="21" t="n">
        <v>2.5</v>
      </c>
      <c r="F242" s="22" t="n">
        <f aca="false">IF(D242="",0,E242*INDEX(Gangs!$D:$D,MATCH(D242,Gangs!$A:$A,0)))</f>
        <v>622.357625</v>
      </c>
      <c r="G242" s="19" t="s">
        <v>731</v>
      </c>
      <c r="H242" s="21" t="n">
        <v>1</v>
      </c>
      <c r="I242" s="19"/>
      <c r="J242" s="21"/>
      <c r="K242" s="19"/>
      <c r="L242" s="21"/>
      <c r="M242" s="22" t="n">
        <f aca="false">IF(G242="",0,H242*INDEX(Materials!$E:$E,MATCH(G242,Materials!$A:$A,0)))+IF(I242="",0,J242*INDEX(Materials!$E:$E,MATCH(I242,Materials!$A:$A,0)))+IF(K242="",0,L242*INDEX(Materials!$E:$E,MATCH(K242,Materials!$A:$A,0)))</f>
        <v>1050</v>
      </c>
      <c r="N242" s="23" t="n">
        <v>0</v>
      </c>
      <c r="O242" s="19"/>
      <c r="P242" s="21"/>
      <c r="Q242" s="22" t="n">
        <f aca="false">IF(O242="",0,P242*INDEX(Plant!$D:$D,MATCH(O242,Plant!$A:$A,0)))</f>
        <v>0</v>
      </c>
      <c r="R242" s="24" t="n">
        <f aca="false">F242+M242+N242+Q242</f>
        <v>1672.357625</v>
      </c>
      <c r="S242" s="22" t="n">
        <f aca="false">R242*Settings!$B$4*Settings!$B$9</f>
        <v>1672.357625</v>
      </c>
      <c r="T242" s="24" t="n">
        <f aca="false">S242*(1+Settings!$B$10)</f>
        <v>1956.65842125</v>
      </c>
    </row>
    <row r="243" customFormat="false" ht="15" hidden="false" customHeight="false" outlineLevel="0" collapsed="false">
      <c r="A243" s="19" t="s">
        <v>732</v>
      </c>
      <c r="B243" s="20" t="s">
        <v>733</v>
      </c>
      <c r="C243" s="19" t="s">
        <v>96</v>
      </c>
      <c r="D243" s="19" t="s">
        <v>715</v>
      </c>
      <c r="E243" s="21" t="n">
        <v>6</v>
      </c>
      <c r="F243" s="22" t="n">
        <f aca="false">IF(D243="",0,E243*INDEX(Gangs!$D:$D,MATCH(D243,Gangs!$A:$A,0)))</f>
        <v>1493.6583</v>
      </c>
      <c r="G243" s="19" t="s">
        <v>734</v>
      </c>
      <c r="H243" s="21" t="n">
        <v>1</v>
      </c>
      <c r="I243" s="19"/>
      <c r="J243" s="21"/>
      <c r="K243" s="19"/>
      <c r="L243" s="21"/>
      <c r="M243" s="22" t="n">
        <f aca="false">IF(G243="",0,H243*INDEX(Materials!$E:$E,MATCH(G243,Materials!$A:$A,0)))+IF(I243="",0,J243*INDEX(Materials!$E:$E,MATCH(I243,Materials!$A:$A,0)))+IF(K243="",0,L243*INDEX(Materials!$E:$E,MATCH(K243,Materials!$A:$A,0)))</f>
        <v>3200</v>
      </c>
      <c r="N243" s="23" t="n">
        <v>0</v>
      </c>
      <c r="O243" s="19"/>
      <c r="P243" s="21"/>
      <c r="Q243" s="22" t="n">
        <f aca="false">IF(O243="",0,P243*INDEX(Plant!$D:$D,MATCH(O243,Plant!$A:$A,0)))</f>
        <v>0</v>
      </c>
      <c r="R243" s="24" t="n">
        <f aca="false">F243+M243+N243+Q243</f>
        <v>4693.6583</v>
      </c>
      <c r="S243" s="22" t="n">
        <f aca="false">R243*Settings!$B$4*Settings!$B$9</f>
        <v>4693.6583</v>
      </c>
      <c r="T243" s="24" t="n">
        <f aca="false">S243*(1+Settings!$B$10)</f>
        <v>5491.580211</v>
      </c>
    </row>
    <row r="244" customFormat="false" ht="15" hidden="false" customHeight="false" outlineLevel="0" collapsed="false">
      <c r="A244" s="19" t="s">
        <v>735</v>
      </c>
      <c r="B244" s="20" t="s">
        <v>736</v>
      </c>
      <c r="C244" s="19" t="s">
        <v>96</v>
      </c>
      <c r="D244" s="19" t="s">
        <v>715</v>
      </c>
      <c r="E244" s="21" t="n">
        <v>10</v>
      </c>
      <c r="F244" s="22" t="n">
        <f aca="false">IF(D244="",0,E244*INDEX(Gangs!$D:$D,MATCH(D244,Gangs!$A:$A,0)))</f>
        <v>2489.4305</v>
      </c>
      <c r="G244" s="19" t="s">
        <v>737</v>
      </c>
      <c r="H244" s="21" t="n">
        <v>1</v>
      </c>
      <c r="I244" s="19"/>
      <c r="J244" s="21"/>
      <c r="K244" s="19"/>
      <c r="L244" s="21"/>
      <c r="M244" s="22" t="n">
        <f aca="false">IF(G244="",0,H244*INDEX(Materials!$E:$E,MATCH(G244,Materials!$A:$A,0)))+IF(I244="",0,J244*INDEX(Materials!$E:$E,MATCH(I244,Materials!$A:$A,0)))+IF(K244="",0,L244*INDEX(Materials!$E:$E,MATCH(K244,Materials!$A:$A,0)))</f>
        <v>5600</v>
      </c>
      <c r="N244" s="23" t="n">
        <v>0</v>
      </c>
      <c r="O244" s="19"/>
      <c r="P244" s="21"/>
      <c r="Q244" s="22" t="n">
        <f aca="false">IF(O244="",0,P244*INDEX(Plant!$D:$D,MATCH(O244,Plant!$A:$A,0)))</f>
        <v>0</v>
      </c>
      <c r="R244" s="24" t="n">
        <f aca="false">F244+M244+N244+Q244</f>
        <v>8089.4305</v>
      </c>
      <c r="S244" s="22" t="n">
        <f aca="false">R244*Settings!$B$4*Settings!$B$9</f>
        <v>8089.4305</v>
      </c>
      <c r="T244" s="24" t="n">
        <f aca="false">S244*(1+Settings!$B$10)</f>
        <v>9464.633685</v>
      </c>
    </row>
    <row r="245" customFormat="false" ht="15" hidden="false" customHeight="false" outlineLevel="0" collapsed="false">
      <c r="A245" s="19" t="s">
        <v>738</v>
      </c>
      <c r="B245" s="20" t="s">
        <v>739</v>
      </c>
      <c r="C245" s="19" t="s">
        <v>256</v>
      </c>
      <c r="D245" s="19" t="s">
        <v>715</v>
      </c>
      <c r="E245" s="21" t="n">
        <v>0.15</v>
      </c>
      <c r="F245" s="22" t="n">
        <f aca="false">IF(D245="",0,E245*INDEX(Gangs!$D:$D,MATCH(D245,Gangs!$A:$A,0)))</f>
        <v>37.3414575</v>
      </c>
      <c r="G245" s="19" t="s">
        <v>740</v>
      </c>
      <c r="H245" s="21" t="n">
        <v>1.05</v>
      </c>
      <c r="I245" s="19"/>
      <c r="J245" s="21"/>
      <c r="K245" s="19"/>
      <c r="L245" s="21"/>
      <c r="M245" s="22" t="n">
        <f aca="false">IF(G245="",0,H245*INDEX(Materials!$E:$E,MATCH(G245,Materials!$A:$A,0)))+IF(I245="",0,J245*INDEX(Materials!$E:$E,MATCH(I245,Materials!$A:$A,0)))+IF(K245="",0,L245*INDEX(Materials!$E:$E,MATCH(K245,Materials!$A:$A,0)))</f>
        <v>194.25</v>
      </c>
      <c r="N245" s="23" t="n">
        <v>10</v>
      </c>
      <c r="O245" s="19"/>
      <c r="P245" s="21"/>
      <c r="Q245" s="22" t="n">
        <f aca="false">IF(O245="",0,P245*INDEX(Plant!$D:$D,MATCH(O245,Plant!$A:$A,0)))</f>
        <v>0</v>
      </c>
      <c r="R245" s="24" t="n">
        <f aca="false">F245+M245+N245+Q245</f>
        <v>241.5914575</v>
      </c>
      <c r="S245" s="22" t="n">
        <f aca="false">R245*Settings!$B$4*Settings!$B$9</f>
        <v>241.5914575</v>
      </c>
      <c r="T245" s="24" t="n">
        <f aca="false">S245*(1+Settings!$B$10)</f>
        <v>282.662005275</v>
      </c>
    </row>
    <row r="246" customFormat="false" ht="15" hidden="false" customHeight="false" outlineLevel="0" collapsed="false">
      <c r="A246" s="19" t="s">
        <v>741</v>
      </c>
      <c r="B246" s="20" t="s">
        <v>742</v>
      </c>
      <c r="C246" s="19" t="s">
        <v>256</v>
      </c>
      <c r="D246" s="19" t="s">
        <v>75</v>
      </c>
      <c r="E246" s="21" t="n">
        <v>0.9</v>
      </c>
      <c r="F246" s="22" t="n">
        <f aca="false">IF(D246="",0,E246*INDEX(Gangs!$D:$D,MATCH(D246,Gangs!$A:$A,0)))</f>
        <v>47.798145</v>
      </c>
      <c r="G246" s="19"/>
      <c r="H246" s="21"/>
      <c r="I246" s="19"/>
      <c r="J246" s="21"/>
      <c r="K246" s="19"/>
      <c r="L246" s="21"/>
      <c r="M246" s="22" t="n">
        <f aca="false">IF(G246="",0,H246*INDEX(Materials!$E:$E,MATCH(G246,Materials!$A:$A,0)))+IF(I246="",0,J246*INDEX(Materials!$E:$E,MATCH(I246,Materials!$A:$A,0)))+IF(K246="",0,L246*INDEX(Materials!$E:$E,MATCH(K246,Materials!$A:$A,0)))</f>
        <v>0</v>
      </c>
      <c r="N246" s="23" t="n">
        <v>10</v>
      </c>
      <c r="O246" s="19"/>
      <c r="P246" s="21"/>
      <c r="Q246" s="22" t="n">
        <f aca="false">IF(O246="",0,P246*INDEX(Plant!$D:$D,MATCH(O246,Plant!$A:$A,0)))</f>
        <v>0</v>
      </c>
      <c r="R246" s="24" t="n">
        <f aca="false">F246+M246+N246+Q246</f>
        <v>57.798145</v>
      </c>
      <c r="S246" s="22" t="n">
        <f aca="false">R246*Settings!$B$4*Settings!$B$9</f>
        <v>57.798145</v>
      </c>
      <c r="T246" s="24" t="n">
        <f aca="false">S246*(1+Settings!$B$10)</f>
        <v>67.62382965</v>
      </c>
    </row>
    <row r="247" customFormat="false" ht="15" hidden="false" customHeight="false" outlineLevel="0" collapsed="false">
      <c r="A247" s="19" t="s">
        <v>743</v>
      </c>
      <c r="B247" s="20" t="s">
        <v>744</v>
      </c>
      <c r="C247" s="19" t="s">
        <v>96</v>
      </c>
      <c r="D247" s="19" t="s">
        <v>715</v>
      </c>
      <c r="E247" s="21" t="n">
        <v>1.5</v>
      </c>
      <c r="F247" s="22" t="n">
        <f aca="false">IF(D247="",0,E247*INDEX(Gangs!$D:$D,MATCH(D247,Gangs!$A:$A,0)))</f>
        <v>373.414575</v>
      </c>
      <c r="G247" s="19" t="s">
        <v>745</v>
      </c>
      <c r="H247" s="21" t="n">
        <v>1</v>
      </c>
      <c r="I247" s="19"/>
      <c r="J247" s="21"/>
      <c r="K247" s="19"/>
      <c r="L247" s="21"/>
      <c r="M247" s="22" t="n">
        <f aca="false">IF(G247="",0,H247*INDEX(Materials!$E:$E,MATCH(G247,Materials!$A:$A,0)))+IF(I247="",0,J247*INDEX(Materials!$E:$E,MATCH(I247,Materials!$A:$A,0)))+IF(K247="",0,L247*INDEX(Materials!$E:$E,MATCH(K247,Materials!$A:$A,0)))</f>
        <v>450</v>
      </c>
      <c r="N247" s="23" t="n">
        <v>0</v>
      </c>
      <c r="O247" s="19"/>
      <c r="P247" s="21"/>
      <c r="Q247" s="22" t="n">
        <f aca="false">IF(O247="",0,P247*INDEX(Plant!$D:$D,MATCH(O247,Plant!$A:$A,0)))</f>
        <v>0</v>
      </c>
      <c r="R247" s="24" t="n">
        <f aca="false">F247+M247+N247+Q247</f>
        <v>823.414575</v>
      </c>
      <c r="S247" s="22" t="n">
        <f aca="false">R247*Settings!$B$4*Settings!$B$9</f>
        <v>823.414575</v>
      </c>
      <c r="T247" s="24" t="n">
        <f aca="false">S247*(1+Settings!$B$10)</f>
        <v>963.39505275</v>
      </c>
    </row>
    <row r="248" customFormat="false" ht="15" hidden="false" customHeight="false" outlineLevel="0" collapsed="false">
      <c r="A248" s="19" t="s">
        <v>746</v>
      </c>
      <c r="B248" s="20" t="s">
        <v>747</v>
      </c>
      <c r="C248" s="19" t="s">
        <v>96</v>
      </c>
      <c r="D248" s="19" t="s">
        <v>715</v>
      </c>
      <c r="E248" s="21" t="n">
        <v>0.8</v>
      </c>
      <c r="F248" s="22" t="n">
        <f aca="false">IF(D248="",0,E248*INDEX(Gangs!$D:$D,MATCH(D248,Gangs!$A:$A,0)))</f>
        <v>199.15444</v>
      </c>
      <c r="G248" s="19" t="s">
        <v>748</v>
      </c>
      <c r="H248" s="21" t="n">
        <v>1</v>
      </c>
      <c r="I248" s="19"/>
      <c r="J248" s="21"/>
      <c r="K248" s="19"/>
      <c r="L248" s="21"/>
      <c r="M248" s="22" t="n">
        <f aca="false">IF(G248="",0,H248*INDEX(Materials!$E:$E,MATCH(G248,Materials!$A:$A,0)))+IF(I248="",0,J248*INDEX(Materials!$E:$E,MATCH(I248,Materials!$A:$A,0)))+IF(K248="",0,L248*INDEX(Materials!$E:$E,MATCH(K248,Materials!$A:$A,0)))</f>
        <v>380</v>
      </c>
      <c r="N248" s="23" t="n">
        <v>0</v>
      </c>
      <c r="O248" s="19"/>
      <c r="P248" s="21"/>
      <c r="Q248" s="22" t="n">
        <f aca="false">IF(O248="",0,P248*INDEX(Plant!$D:$D,MATCH(O248,Plant!$A:$A,0)))</f>
        <v>0</v>
      </c>
      <c r="R248" s="24" t="n">
        <f aca="false">F248+M248+N248+Q248</f>
        <v>579.15444</v>
      </c>
      <c r="S248" s="22" t="n">
        <f aca="false">R248*Settings!$B$4*Settings!$B$9</f>
        <v>579.15444</v>
      </c>
      <c r="T248" s="24" t="n">
        <f aca="false">S248*(1+Settings!$B$10)</f>
        <v>677.6106948</v>
      </c>
    </row>
    <row r="249" customFormat="false" ht="15" hidden="false" customHeight="false" outlineLevel="0" collapsed="false">
      <c r="A249" s="19" t="s">
        <v>749</v>
      </c>
      <c r="B249" s="20" t="s">
        <v>750</v>
      </c>
      <c r="C249" s="19" t="s">
        <v>96</v>
      </c>
      <c r="D249" s="19" t="s">
        <v>715</v>
      </c>
      <c r="E249" s="21" t="n">
        <v>0.8</v>
      </c>
      <c r="F249" s="22" t="n">
        <f aca="false">IF(D249="",0,E249*INDEX(Gangs!$D:$D,MATCH(D249,Gangs!$A:$A,0)))</f>
        <v>199.15444</v>
      </c>
      <c r="G249" s="19" t="s">
        <v>751</v>
      </c>
      <c r="H249" s="21" t="n">
        <v>1</v>
      </c>
      <c r="I249" s="19"/>
      <c r="J249" s="21"/>
      <c r="K249" s="19"/>
      <c r="L249" s="21"/>
      <c r="M249" s="22" t="n">
        <f aca="false">IF(G249="",0,H249*INDEX(Materials!$E:$E,MATCH(G249,Materials!$A:$A,0)))+IF(I249="",0,J249*INDEX(Materials!$E:$E,MATCH(I249,Materials!$A:$A,0)))+IF(K249="",0,L249*INDEX(Materials!$E:$E,MATCH(K249,Materials!$A:$A,0)))</f>
        <v>220</v>
      </c>
      <c r="N249" s="23" t="n">
        <v>0</v>
      </c>
      <c r="O249" s="19"/>
      <c r="P249" s="21"/>
      <c r="Q249" s="22" t="n">
        <f aca="false">IF(O249="",0,P249*INDEX(Plant!$D:$D,MATCH(O249,Plant!$A:$A,0)))</f>
        <v>0</v>
      </c>
      <c r="R249" s="24" t="n">
        <f aca="false">F249+M249+N249+Q249</f>
        <v>419.15444</v>
      </c>
      <c r="S249" s="22" t="n">
        <f aca="false">R249*Settings!$B$4*Settings!$B$9</f>
        <v>419.15444</v>
      </c>
      <c r="T249" s="24" t="n">
        <f aca="false">S249*(1+Settings!$B$10)</f>
        <v>490.4106948</v>
      </c>
    </row>
    <row r="250" customFormat="false" ht="15" hidden="false" customHeight="false" outlineLevel="0" collapsed="false">
      <c r="A250" s="19" t="s">
        <v>752</v>
      </c>
      <c r="B250" s="20" t="s">
        <v>753</v>
      </c>
      <c r="C250" s="19" t="s">
        <v>96</v>
      </c>
      <c r="D250" s="19" t="s">
        <v>715</v>
      </c>
      <c r="E250" s="21" t="n">
        <v>1.2</v>
      </c>
      <c r="F250" s="22" t="n">
        <f aca="false">IF(D250="",0,E250*INDEX(Gangs!$D:$D,MATCH(D250,Gangs!$A:$A,0)))</f>
        <v>298.73166</v>
      </c>
      <c r="G250" s="19" t="s">
        <v>754</v>
      </c>
      <c r="H250" s="21" t="n">
        <v>1</v>
      </c>
      <c r="I250" s="19"/>
      <c r="J250" s="21"/>
      <c r="K250" s="19"/>
      <c r="L250" s="21"/>
      <c r="M250" s="22" t="n">
        <f aca="false">IF(G250="",0,H250*INDEX(Materials!$E:$E,MATCH(G250,Materials!$A:$A,0)))+IF(I250="",0,J250*INDEX(Materials!$E:$E,MATCH(I250,Materials!$A:$A,0)))+IF(K250="",0,L250*INDEX(Materials!$E:$E,MATCH(K250,Materials!$A:$A,0)))</f>
        <v>750</v>
      </c>
      <c r="N250" s="23" t="n">
        <v>0</v>
      </c>
      <c r="O250" s="19"/>
      <c r="P250" s="21"/>
      <c r="Q250" s="22" t="n">
        <f aca="false">IF(O250="",0,P250*INDEX(Plant!$D:$D,MATCH(O250,Plant!$A:$A,0)))</f>
        <v>0</v>
      </c>
      <c r="R250" s="24" t="n">
        <f aca="false">F250+M250+N250+Q250</f>
        <v>1048.73166</v>
      </c>
      <c r="S250" s="22" t="n">
        <f aca="false">R250*Settings!$B$4*Settings!$B$9</f>
        <v>1048.73166</v>
      </c>
      <c r="T250" s="24" t="n">
        <f aca="false">S250*(1+Settings!$B$10)</f>
        <v>1227.0160422</v>
      </c>
    </row>
    <row r="251" customFormat="false" ht="15" hidden="false" customHeight="false" outlineLevel="0" collapsed="false">
      <c r="A251" s="19" t="s">
        <v>755</v>
      </c>
      <c r="B251" s="20" t="s">
        <v>756</v>
      </c>
      <c r="C251" s="19" t="s">
        <v>74</v>
      </c>
      <c r="D251" s="19"/>
      <c r="E251" s="21"/>
      <c r="F251" s="22" t="n">
        <f aca="false">IF(D251="",0,E251*INDEX(Gangs!$D:$D,MATCH(D251,Gangs!$A:$A,0)))</f>
        <v>0</v>
      </c>
      <c r="G251" s="19"/>
      <c r="H251" s="21"/>
      <c r="I251" s="19"/>
      <c r="J251" s="21"/>
      <c r="K251" s="19"/>
      <c r="L251" s="21"/>
      <c r="M251" s="22" t="n">
        <f aca="false">IF(G251="",0,H251*INDEX(Materials!$E:$E,MATCH(G251,Materials!$A:$A,0)))+IF(I251="",0,J251*INDEX(Materials!$E:$E,MATCH(I251,Materials!$A:$A,0)))+IF(K251="",0,L251*INDEX(Materials!$E:$E,MATCH(K251,Materials!$A:$A,0)))</f>
        <v>0</v>
      </c>
      <c r="N251" s="23" t="n">
        <v>6500</v>
      </c>
      <c r="O251" s="19"/>
      <c r="P251" s="21"/>
      <c r="Q251" s="22" t="n">
        <f aca="false">IF(O251="",0,P251*INDEX(Plant!$D:$D,MATCH(O251,Plant!$A:$A,0)))</f>
        <v>0</v>
      </c>
      <c r="R251" s="24" t="n">
        <f aca="false">F251+M251+N251+Q251</f>
        <v>6500</v>
      </c>
      <c r="S251" s="22" t="n">
        <f aca="false">R251*Settings!$B$4*Settings!$B$9</f>
        <v>6500</v>
      </c>
      <c r="T251" s="24" t="n">
        <f aca="false">S251*(1+Settings!$B$10)</f>
        <v>7605</v>
      </c>
    </row>
    <row r="252" customFormat="false" ht="15" hidden="false" customHeight="false" outlineLevel="0" collapsed="false">
      <c r="A252" s="19" t="s">
        <v>757</v>
      </c>
      <c r="B252" s="20" t="s">
        <v>758</v>
      </c>
      <c r="C252" s="19" t="s">
        <v>96</v>
      </c>
      <c r="D252" s="19"/>
      <c r="E252" s="21"/>
      <c r="F252" s="22" t="n">
        <f aca="false">IF(D252="",0,E252*INDEX(Gangs!$D:$D,MATCH(D252,Gangs!$A:$A,0)))</f>
        <v>0</v>
      </c>
      <c r="G252" s="19" t="s">
        <v>759</v>
      </c>
      <c r="H252" s="21" t="n">
        <v>1</v>
      </c>
      <c r="I252" s="19"/>
      <c r="J252" s="21"/>
      <c r="K252" s="19"/>
      <c r="L252" s="21"/>
      <c r="M252" s="22" t="n">
        <f aca="false">IF(G252="",0,H252*INDEX(Materials!$E:$E,MATCH(G252,Materials!$A:$A,0)))+IF(I252="",0,J252*INDEX(Materials!$E:$E,MATCH(I252,Materials!$A:$A,0)))+IF(K252="",0,L252*INDEX(Materials!$E:$E,MATCH(K252,Materials!$A:$A,0)))</f>
        <v>115000</v>
      </c>
      <c r="N252" s="23" t="n">
        <v>0</v>
      </c>
      <c r="O252" s="19"/>
      <c r="P252" s="21"/>
      <c r="Q252" s="22" t="n">
        <f aca="false">IF(O252="",0,P252*INDEX(Plant!$D:$D,MATCH(O252,Plant!$A:$A,0)))</f>
        <v>0</v>
      </c>
      <c r="R252" s="24" t="n">
        <f aca="false">F252+M252+N252+Q252</f>
        <v>115000</v>
      </c>
      <c r="S252" s="22" t="n">
        <f aca="false">R252*Settings!$B$4*Settings!$B$9</f>
        <v>115000</v>
      </c>
      <c r="T252" s="24" t="n">
        <f aca="false">S252*(1+Settings!$B$10)</f>
        <v>134550</v>
      </c>
    </row>
    <row r="253" customFormat="false" ht="15" hidden="false" customHeight="false" outlineLevel="0" collapsed="false">
      <c r="A253" s="19" t="s">
        <v>760</v>
      </c>
      <c r="B253" s="20" t="s">
        <v>761</v>
      </c>
      <c r="C253" s="19" t="s">
        <v>96</v>
      </c>
      <c r="D253" s="19" t="s">
        <v>715</v>
      </c>
      <c r="E253" s="21" t="n">
        <v>0.3</v>
      </c>
      <c r="F253" s="22" t="n">
        <f aca="false">IF(D253="",0,E253*INDEX(Gangs!$D:$D,MATCH(D253,Gangs!$A:$A,0)))</f>
        <v>74.682915</v>
      </c>
      <c r="G253" s="19" t="s">
        <v>762</v>
      </c>
      <c r="H253" s="21" t="n">
        <v>1</v>
      </c>
      <c r="I253" s="19"/>
      <c r="J253" s="21"/>
      <c r="K253" s="19"/>
      <c r="L253" s="21"/>
      <c r="M253" s="22" t="n">
        <f aca="false">IF(G253="",0,H253*INDEX(Materials!$E:$E,MATCH(G253,Materials!$A:$A,0)))+IF(I253="",0,J253*INDEX(Materials!$E:$E,MATCH(I253,Materials!$A:$A,0)))+IF(K253="",0,L253*INDEX(Materials!$E:$E,MATCH(K253,Materials!$A:$A,0)))</f>
        <v>220</v>
      </c>
      <c r="N253" s="23" t="n">
        <v>0</v>
      </c>
      <c r="O253" s="19"/>
      <c r="P253" s="21"/>
      <c r="Q253" s="22" t="n">
        <f aca="false">IF(O253="",0,P253*INDEX(Plant!$D:$D,MATCH(O253,Plant!$A:$A,0)))</f>
        <v>0</v>
      </c>
      <c r="R253" s="24" t="n">
        <f aca="false">F253+M253+N253+Q253</f>
        <v>294.682915</v>
      </c>
      <c r="S253" s="22" t="n">
        <f aca="false">R253*Settings!$B$4*Settings!$B$9</f>
        <v>294.682915</v>
      </c>
      <c r="T253" s="24" t="n">
        <f aca="false">S253*(1+Settings!$B$10)</f>
        <v>344.77901055</v>
      </c>
    </row>
    <row r="254" customFormat="false" ht="15" hidden="false" customHeight="false" outlineLevel="0" collapsed="false">
      <c r="A254" s="19" t="s">
        <v>763</v>
      </c>
      <c r="B254" s="20" t="s">
        <v>764</v>
      </c>
      <c r="C254" s="19" t="s">
        <v>96</v>
      </c>
      <c r="D254" s="19"/>
      <c r="E254" s="21"/>
      <c r="F254" s="22" t="n">
        <f aca="false">IF(D254="",0,E254*INDEX(Gangs!$D:$D,MATCH(D254,Gangs!$A:$A,0)))</f>
        <v>0</v>
      </c>
      <c r="G254" s="19" t="s">
        <v>765</v>
      </c>
      <c r="H254" s="21" t="n">
        <v>1</v>
      </c>
      <c r="I254" s="19"/>
      <c r="J254" s="21"/>
      <c r="K254" s="19"/>
      <c r="L254" s="21"/>
      <c r="M254" s="22" t="n">
        <f aca="false">IF(G254="",0,H254*INDEX(Materials!$E:$E,MATCH(G254,Materials!$A:$A,0)))+IF(I254="",0,J254*INDEX(Materials!$E:$E,MATCH(I254,Materials!$A:$A,0)))+IF(K254="",0,L254*INDEX(Materials!$E:$E,MATCH(K254,Materials!$A:$A,0)))</f>
        <v>14500</v>
      </c>
      <c r="N254" s="23" t="n">
        <v>0</v>
      </c>
      <c r="O254" s="19"/>
      <c r="P254" s="21"/>
      <c r="Q254" s="22" t="n">
        <f aca="false">IF(O254="",0,P254*INDEX(Plant!$D:$D,MATCH(O254,Plant!$A:$A,0)))</f>
        <v>0</v>
      </c>
      <c r="R254" s="24" t="n">
        <f aca="false">F254+M254+N254+Q254</f>
        <v>14500</v>
      </c>
      <c r="S254" s="22" t="n">
        <f aca="false">R254*Settings!$B$4*Settings!$B$9</f>
        <v>14500</v>
      </c>
      <c r="T254" s="24" t="n">
        <f aca="false">S254*(1+Settings!$B$10)</f>
        <v>16965</v>
      </c>
    </row>
    <row r="255" customFormat="false" ht="15" hidden="false" customHeight="false" outlineLevel="0" collapsed="false">
      <c r="A255" s="19" t="s">
        <v>766</v>
      </c>
      <c r="B255" s="20" t="s">
        <v>767</v>
      </c>
      <c r="C255" s="19" t="s">
        <v>96</v>
      </c>
      <c r="D255" s="19"/>
      <c r="E255" s="21"/>
      <c r="F255" s="22" t="n">
        <f aca="false">IF(D255="",0,E255*INDEX(Gangs!$D:$D,MATCH(D255,Gangs!$A:$A,0)))</f>
        <v>0</v>
      </c>
      <c r="G255" s="19" t="s">
        <v>768</v>
      </c>
      <c r="H255" s="21" t="n">
        <v>1</v>
      </c>
      <c r="I255" s="19"/>
      <c r="J255" s="21"/>
      <c r="K255" s="19"/>
      <c r="L255" s="21"/>
      <c r="M255" s="22" t="n">
        <f aca="false">IF(G255="",0,H255*INDEX(Materials!$E:$E,MATCH(G255,Materials!$A:$A,0)))+IF(I255="",0,J255*INDEX(Materials!$E:$E,MATCH(I255,Materials!$A:$A,0)))+IF(K255="",0,L255*INDEX(Materials!$E:$E,MATCH(K255,Materials!$A:$A,0)))</f>
        <v>19500</v>
      </c>
      <c r="N255" s="23" t="n">
        <v>0</v>
      </c>
      <c r="O255" s="19"/>
      <c r="P255" s="21"/>
      <c r="Q255" s="22" t="n">
        <f aca="false">IF(O255="",0,P255*INDEX(Plant!$D:$D,MATCH(O255,Plant!$A:$A,0)))</f>
        <v>0</v>
      </c>
      <c r="R255" s="24" t="n">
        <f aca="false">F255+M255+N255+Q255</f>
        <v>19500</v>
      </c>
      <c r="S255" s="22" t="n">
        <f aca="false">R255*Settings!$B$4*Settings!$B$9</f>
        <v>19500</v>
      </c>
      <c r="T255" s="24" t="n">
        <f aca="false">S255*(1+Settings!$B$10)</f>
        <v>22815</v>
      </c>
    </row>
    <row r="256" customFormat="false" ht="15" hidden="false" customHeight="false" outlineLevel="0" collapsed="false">
      <c r="A256" s="19" t="s">
        <v>769</v>
      </c>
      <c r="B256" s="20" t="s">
        <v>770</v>
      </c>
      <c r="C256" s="19" t="s">
        <v>96</v>
      </c>
      <c r="D256" s="19"/>
      <c r="E256" s="21"/>
      <c r="F256" s="22" t="n">
        <f aca="false">IF(D256="",0,E256*INDEX(Gangs!$D:$D,MATCH(D256,Gangs!$A:$A,0)))</f>
        <v>0</v>
      </c>
      <c r="G256" s="19" t="s">
        <v>771</v>
      </c>
      <c r="H256" s="21" t="n">
        <v>1</v>
      </c>
      <c r="I256" s="19"/>
      <c r="J256" s="21"/>
      <c r="K256" s="19"/>
      <c r="L256" s="21"/>
      <c r="M256" s="22" t="n">
        <f aca="false">IF(G256="",0,H256*INDEX(Materials!$E:$E,MATCH(G256,Materials!$A:$A,0)))+IF(I256="",0,J256*INDEX(Materials!$E:$E,MATCH(I256,Materials!$A:$A,0)))+IF(K256="",0,L256*INDEX(Materials!$E:$E,MATCH(K256,Materials!$A:$A,0)))</f>
        <v>26500</v>
      </c>
      <c r="N256" s="23" t="n">
        <v>0</v>
      </c>
      <c r="O256" s="19"/>
      <c r="P256" s="21"/>
      <c r="Q256" s="22" t="n">
        <f aca="false">IF(O256="",0,P256*INDEX(Plant!$D:$D,MATCH(O256,Plant!$A:$A,0)))</f>
        <v>0</v>
      </c>
      <c r="R256" s="24" t="n">
        <f aca="false">F256+M256+N256+Q256</f>
        <v>26500</v>
      </c>
      <c r="S256" s="22" t="n">
        <f aca="false">R256*Settings!$B$4*Settings!$B$9</f>
        <v>26500</v>
      </c>
      <c r="T256" s="24" t="n">
        <f aca="false">S256*(1+Settings!$B$10)</f>
        <v>31005</v>
      </c>
    </row>
    <row r="257" customFormat="false" ht="15" hidden="false" customHeight="false" outlineLevel="0" collapsed="false">
      <c r="A257" s="19" t="s">
        <v>772</v>
      </c>
      <c r="B257" s="20" t="s">
        <v>773</v>
      </c>
      <c r="C257" s="19" t="s">
        <v>256</v>
      </c>
      <c r="D257" s="19"/>
      <c r="E257" s="21"/>
      <c r="F257" s="22" t="n">
        <f aca="false">IF(D257="",0,E257*INDEX(Gangs!$D:$D,MATCH(D257,Gangs!$A:$A,0)))</f>
        <v>0</v>
      </c>
      <c r="G257" s="19" t="s">
        <v>774</v>
      </c>
      <c r="H257" s="21" t="n">
        <v>1</v>
      </c>
      <c r="I257" s="19"/>
      <c r="J257" s="21"/>
      <c r="K257" s="19"/>
      <c r="L257" s="21"/>
      <c r="M257" s="22" t="n">
        <f aca="false">IF(G257="",0,H257*INDEX(Materials!$E:$E,MATCH(G257,Materials!$A:$A,0)))+IF(I257="",0,J257*INDEX(Materials!$E:$E,MATCH(I257,Materials!$A:$A,0)))+IF(K257="",0,L257*INDEX(Materials!$E:$E,MATCH(K257,Materials!$A:$A,0)))</f>
        <v>280</v>
      </c>
      <c r="N257" s="23" t="n">
        <v>0</v>
      </c>
      <c r="O257" s="19"/>
      <c r="P257" s="21"/>
      <c r="Q257" s="22" t="n">
        <f aca="false">IF(O257="",0,P257*INDEX(Plant!$D:$D,MATCH(O257,Plant!$A:$A,0)))</f>
        <v>0</v>
      </c>
      <c r="R257" s="24" t="n">
        <f aca="false">F257+M257+N257+Q257</f>
        <v>280</v>
      </c>
      <c r="S257" s="22" t="n">
        <f aca="false">R257*Settings!$B$4*Settings!$B$9</f>
        <v>280</v>
      </c>
      <c r="T257" s="24" t="n">
        <f aca="false">S257*(1+Settings!$B$10)</f>
        <v>327.6</v>
      </c>
    </row>
    <row r="258" customFormat="false" ht="15" hidden="false" customHeight="false" outlineLevel="0" collapsed="false">
      <c r="A258" s="19" t="s">
        <v>775</v>
      </c>
      <c r="B258" s="20" t="s">
        <v>776</v>
      </c>
      <c r="C258" s="19" t="s">
        <v>96</v>
      </c>
      <c r="D258" s="19"/>
      <c r="E258" s="21"/>
      <c r="F258" s="22" t="n">
        <f aca="false">IF(D258="",0,E258*INDEX(Gangs!$D:$D,MATCH(D258,Gangs!$A:$A,0)))</f>
        <v>0</v>
      </c>
      <c r="G258" s="19" t="s">
        <v>777</v>
      </c>
      <c r="H258" s="21" t="n">
        <v>1</v>
      </c>
      <c r="I258" s="19"/>
      <c r="J258" s="21"/>
      <c r="K258" s="19"/>
      <c r="L258" s="21"/>
      <c r="M258" s="22" t="n">
        <f aca="false">IF(G258="",0,H258*INDEX(Materials!$E:$E,MATCH(G258,Materials!$A:$A,0)))+IF(I258="",0,J258*INDEX(Materials!$E:$E,MATCH(I258,Materials!$A:$A,0)))+IF(K258="",0,L258*INDEX(Materials!$E:$E,MATCH(K258,Materials!$A:$A,0)))</f>
        <v>11500</v>
      </c>
      <c r="N258" s="23" t="n">
        <v>0</v>
      </c>
      <c r="O258" s="19"/>
      <c r="P258" s="21"/>
      <c r="Q258" s="22" t="n">
        <f aca="false">IF(O258="",0,P258*INDEX(Plant!$D:$D,MATCH(O258,Plant!$A:$A,0)))</f>
        <v>0</v>
      </c>
      <c r="R258" s="24" t="n">
        <f aca="false">F258+M258+N258+Q258</f>
        <v>11500</v>
      </c>
      <c r="S258" s="22" t="n">
        <f aca="false">R258*Settings!$B$4*Settings!$B$9</f>
        <v>11500</v>
      </c>
      <c r="T258" s="24" t="n">
        <f aca="false">S258*(1+Settings!$B$10)</f>
        <v>13455</v>
      </c>
    </row>
    <row r="259" customFormat="false" ht="15" hidden="false" customHeight="false" outlineLevel="0" collapsed="false">
      <c r="A259" s="19" t="s">
        <v>778</v>
      </c>
      <c r="B259" s="20" t="s">
        <v>779</v>
      </c>
      <c r="C259" s="19" t="s">
        <v>96</v>
      </c>
      <c r="D259" s="19"/>
      <c r="E259" s="21"/>
      <c r="F259" s="22" t="n">
        <f aca="false">IF(D259="",0,E259*INDEX(Gangs!$D:$D,MATCH(D259,Gangs!$A:$A,0)))</f>
        <v>0</v>
      </c>
      <c r="G259" s="19" t="s">
        <v>780</v>
      </c>
      <c r="H259" s="21" t="n">
        <v>1</v>
      </c>
      <c r="I259" s="19"/>
      <c r="J259" s="21"/>
      <c r="K259" s="19"/>
      <c r="L259" s="21"/>
      <c r="M259" s="22" t="n">
        <f aca="false">IF(G259="",0,H259*INDEX(Materials!$E:$E,MATCH(G259,Materials!$A:$A,0)))+IF(I259="",0,J259*INDEX(Materials!$E:$E,MATCH(I259,Materials!$A:$A,0)))+IF(K259="",0,L259*INDEX(Materials!$E:$E,MATCH(K259,Materials!$A:$A,0)))</f>
        <v>7500</v>
      </c>
      <c r="N259" s="23" t="n">
        <v>0</v>
      </c>
      <c r="O259" s="19"/>
      <c r="P259" s="21"/>
      <c r="Q259" s="22" t="n">
        <f aca="false">IF(O259="",0,P259*INDEX(Plant!$D:$D,MATCH(O259,Plant!$A:$A,0)))</f>
        <v>0</v>
      </c>
      <c r="R259" s="24" t="n">
        <f aca="false">F259+M259+N259+Q259</f>
        <v>7500</v>
      </c>
      <c r="S259" s="22" t="n">
        <f aca="false">R259*Settings!$B$4*Settings!$B$9</f>
        <v>7500</v>
      </c>
      <c r="T259" s="24" t="n">
        <f aca="false">S259*(1+Settings!$B$10)</f>
        <v>8775</v>
      </c>
    </row>
    <row r="260" customFormat="false" ht="15" hidden="false" customHeight="false" outlineLevel="0" collapsed="false">
      <c r="A260" s="17" t="s">
        <v>781</v>
      </c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</row>
    <row r="261" customFormat="false" ht="15" hidden="false" customHeight="false" outlineLevel="0" collapsed="false">
      <c r="A261" s="19" t="s">
        <v>782</v>
      </c>
      <c r="B261" s="20" t="s">
        <v>783</v>
      </c>
      <c r="C261" s="19" t="s">
        <v>259</v>
      </c>
      <c r="D261" s="19" t="s">
        <v>393</v>
      </c>
      <c r="E261" s="21" t="n">
        <v>16</v>
      </c>
      <c r="F261" s="22" t="n">
        <f aca="false">IF(D261="",0,E261*INDEX(Gangs!$D:$D,MATCH(D261,Gangs!$A:$A,0)))</f>
        <v>4364.6824</v>
      </c>
      <c r="G261" s="19" t="s">
        <v>784</v>
      </c>
      <c r="H261" s="21" t="n">
        <v>1.05</v>
      </c>
      <c r="I261" s="19"/>
      <c r="J261" s="21"/>
      <c r="K261" s="19"/>
      <c r="L261" s="21"/>
      <c r="M261" s="22" t="n">
        <f aca="false">IF(G261="",0,H261*INDEX(Materials!$E:$E,MATCH(G261,Materials!$A:$A,0)))+IF(I261="",0,J261*INDEX(Materials!$E:$E,MATCH(I261,Materials!$A:$A,0)))+IF(K261="",0,L261*INDEX(Materials!$E:$E,MATCH(K261,Materials!$A:$A,0)))</f>
        <v>43050</v>
      </c>
      <c r="N261" s="23" t="n">
        <v>0</v>
      </c>
      <c r="O261" s="19" t="s">
        <v>785</v>
      </c>
      <c r="P261" s="21" t="n">
        <v>0.1</v>
      </c>
      <c r="Q261" s="22" t="n">
        <f aca="false">IF(O261="",0,P261*INDEX(Plant!$D:$D,MATCH(O261,Plant!$A:$A,0)))</f>
        <v>950</v>
      </c>
      <c r="R261" s="24" t="n">
        <f aca="false">F261+M261+N261+Q261</f>
        <v>48364.6824</v>
      </c>
      <c r="S261" s="22" t="n">
        <f aca="false">R261*Settings!$B$4*Settings!$B$9</f>
        <v>48364.6824</v>
      </c>
      <c r="T261" s="24" t="n">
        <f aca="false">S261*(1+Settings!$B$10)</f>
        <v>56586.678408</v>
      </c>
    </row>
    <row r="262" customFormat="false" ht="15" hidden="false" customHeight="false" outlineLevel="0" collapsed="false">
      <c r="A262" s="19" t="s">
        <v>786</v>
      </c>
      <c r="B262" s="20" t="s">
        <v>787</v>
      </c>
      <c r="C262" s="19" t="s">
        <v>259</v>
      </c>
      <c r="D262" s="19" t="s">
        <v>393</v>
      </c>
      <c r="E262" s="21" t="n">
        <v>24</v>
      </c>
      <c r="F262" s="22" t="n">
        <f aca="false">IF(D262="",0,E262*INDEX(Gangs!$D:$D,MATCH(D262,Gangs!$A:$A,0)))</f>
        <v>6547.0236</v>
      </c>
      <c r="G262" s="19" t="s">
        <v>784</v>
      </c>
      <c r="H262" s="21" t="n">
        <v>1.07</v>
      </c>
      <c r="I262" s="19"/>
      <c r="J262" s="21"/>
      <c r="K262" s="19"/>
      <c r="L262" s="21"/>
      <c r="M262" s="22" t="n">
        <f aca="false">IF(G262="",0,H262*INDEX(Materials!$E:$E,MATCH(G262,Materials!$A:$A,0)))+IF(I262="",0,J262*INDEX(Materials!$E:$E,MATCH(I262,Materials!$A:$A,0)))+IF(K262="",0,L262*INDEX(Materials!$E:$E,MATCH(K262,Materials!$A:$A,0)))</f>
        <v>43870</v>
      </c>
      <c r="N262" s="23" t="n">
        <v>0</v>
      </c>
      <c r="O262" s="19"/>
      <c r="P262" s="21"/>
      <c r="Q262" s="22" t="n">
        <f aca="false">IF(O262="",0,P262*INDEX(Plant!$D:$D,MATCH(O262,Plant!$A:$A,0)))</f>
        <v>0</v>
      </c>
      <c r="R262" s="24" t="n">
        <f aca="false">F262+M262+N262+Q262</f>
        <v>50417.0236</v>
      </c>
      <c r="S262" s="22" t="n">
        <f aca="false">R262*Settings!$B$4*Settings!$B$9</f>
        <v>50417.0236</v>
      </c>
      <c r="T262" s="24" t="n">
        <f aca="false">S262*(1+Settings!$B$10)</f>
        <v>58987.917612</v>
      </c>
    </row>
    <row r="263" customFormat="false" ht="15" hidden="false" customHeight="false" outlineLevel="0" collapsed="false">
      <c r="A263" s="19" t="s">
        <v>788</v>
      </c>
      <c r="B263" s="20" t="s">
        <v>789</v>
      </c>
      <c r="C263" s="19" t="s">
        <v>259</v>
      </c>
      <c r="D263" s="19"/>
      <c r="E263" s="21"/>
      <c r="F263" s="22" t="n">
        <f aca="false">IF(D263="",0,E263*INDEX(Gangs!$D:$D,MATCH(D263,Gangs!$A:$A,0)))</f>
        <v>0</v>
      </c>
      <c r="G263" s="19" t="s">
        <v>790</v>
      </c>
      <c r="H263" s="21" t="n">
        <v>1</v>
      </c>
      <c r="I263" s="19"/>
      <c r="J263" s="21"/>
      <c r="K263" s="19"/>
      <c r="L263" s="21"/>
      <c r="M263" s="22" t="n">
        <f aca="false">IF(G263="",0,H263*INDEX(Materials!$E:$E,MATCH(G263,Materials!$A:$A,0)))+IF(I263="",0,J263*INDEX(Materials!$E:$E,MATCH(I263,Materials!$A:$A,0)))+IF(K263="",0,L263*INDEX(Materials!$E:$E,MATCH(K263,Materials!$A:$A,0)))</f>
        <v>6500</v>
      </c>
      <c r="N263" s="23" t="n">
        <v>0</v>
      </c>
      <c r="O263" s="19"/>
      <c r="P263" s="21"/>
      <c r="Q263" s="22" t="n">
        <f aca="false">IF(O263="",0,P263*INDEX(Plant!$D:$D,MATCH(O263,Plant!$A:$A,0)))</f>
        <v>0</v>
      </c>
      <c r="R263" s="24" t="n">
        <f aca="false">F263+M263+N263+Q263</f>
        <v>6500</v>
      </c>
      <c r="S263" s="22" t="n">
        <f aca="false">R263*Settings!$B$4*Settings!$B$9</f>
        <v>6500</v>
      </c>
      <c r="T263" s="24" t="n">
        <f aca="false">S263*(1+Settings!$B$10)</f>
        <v>7605</v>
      </c>
    </row>
    <row r="264" customFormat="false" ht="15" hidden="false" customHeight="false" outlineLevel="0" collapsed="false">
      <c r="A264" s="19" t="s">
        <v>791</v>
      </c>
      <c r="B264" s="20" t="s">
        <v>792</v>
      </c>
      <c r="C264" s="19" t="s">
        <v>96</v>
      </c>
      <c r="D264" s="19" t="s">
        <v>393</v>
      </c>
      <c r="E264" s="21" t="n">
        <v>0.3</v>
      </c>
      <c r="F264" s="22" t="n">
        <f aca="false">IF(D264="",0,E264*INDEX(Gangs!$D:$D,MATCH(D264,Gangs!$A:$A,0)))</f>
        <v>81.837795</v>
      </c>
      <c r="G264" s="19" t="s">
        <v>793</v>
      </c>
      <c r="H264" s="21" t="n">
        <v>1</v>
      </c>
      <c r="I264" s="19"/>
      <c r="J264" s="21"/>
      <c r="K264" s="19"/>
      <c r="L264" s="21"/>
      <c r="M264" s="22" t="n">
        <f aca="false">IF(G264="",0,H264*INDEX(Materials!$E:$E,MATCH(G264,Materials!$A:$A,0)))+IF(I264="",0,J264*INDEX(Materials!$E:$E,MATCH(I264,Materials!$A:$A,0)))+IF(K264="",0,L264*INDEX(Materials!$E:$E,MATCH(K264,Materials!$A:$A,0)))</f>
        <v>180</v>
      </c>
      <c r="N264" s="23" t="n">
        <v>0</v>
      </c>
      <c r="O264" s="19"/>
      <c r="P264" s="21"/>
      <c r="Q264" s="22" t="n">
        <f aca="false">IF(O264="",0,P264*INDEX(Plant!$D:$D,MATCH(O264,Plant!$A:$A,0)))</f>
        <v>0</v>
      </c>
      <c r="R264" s="24" t="n">
        <f aca="false">F264+M264+N264+Q264</f>
        <v>261.837795</v>
      </c>
      <c r="S264" s="22" t="n">
        <f aca="false">R264*Settings!$B$4*Settings!$B$9</f>
        <v>261.837795</v>
      </c>
      <c r="T264" s="24" t="n">
        <f aca="false">S264*(1+Settings!$B$10)</f>
        <v>306.35022015</v>
      </c>
    </row>
    <row r="265" customFormat="false" ht="15" hidden="false" customHeight="false" outlineLevel="0" collapsed="false">
      <c r="A265" s="19" t="s">
        <v>794</v>
      </c>
      <c r="B265" s="20" t="s">
        <v>795</v>
      </c>
      <c r="C265" s="19" t="s">
        <v>256</v>
      </c>
      <c r="D265" s="19" t="s">
        <v>393</v>
      </c>
      <c r="E265" s="21" t="n">
        <v>1</v>
      </c>
      <c r="F265" s="22" t="n">
        <f aca="false">IF(D265="",0,E265*INDEX(Gangs!$D:$D,MATCH(D265,Gangs!$A:$A,0)))</f>
        <v>272.79265</v>
      </c>
      <c r="G265" s="19" t="s">
        <v>796</v>
      </c>
      <c r="H265" s="21" t="n">
        <v>1</v>
      </c>
      <c r="I265" s="19"/>
      <c r="J265" s="21"/>
      <c r="K265" s="19"/>
      <c r="L265" s="21"/>
      <c r="M265" s="22" t="n">
        <f aca="false">IF(G265="",0,H265*INDEX(Materials!$E:$E,MATCH(G265,Materials!$A:$A,0)))+IF(I265="",0,J265*INDEX(Materials!$E:$E,MATCH(I265,Materials!$A:$A,0)))+IF(K265="",0,L265*INDEX(Materials!$E:$E,MATCH(K265,Materials!$A:$A,0)))</f>
        <v>1450</v>
      </c>
      <c r="N265" s="23" t="n">
        <v>0</v>
      </c>
      <c r="O265" s="19"/>
      <c r="P265" s="21"/>
      <c r="Q265" s="22" t="n">
        <f aca="false">IF(O265="",0,P265*INDEX(Plant!$D:$D,MATCH(O265,Plant!$A:$A,0)))</f>
        <v>0</v>
      </c>
      <c r="R265" s="24" t="n">
        <f aca="false">F265+M265+N265+Q265</f>
        <v>1722.79265</v>
      </c>
      <c r="S265" s="22" t="n">
        <f aca="false">R265*Settings!$B$4*Settings!$B$9</f>
        <v>1722.79265</v>
      </c>
      <c r="T265" s="24" t="n">
        <f aca="false">S265*(1+Settings!$B$10)</f>
        <v>2015.6674005</v>
      </c>
    </row>
    <row r="266" customFormat="false" ht="15" hidden="false" customHeight="false" outlineLevel="0" collapsed="false">
      <c r="A266" s="19" t="s">
        <v>797</v>
      </c>
      <c r="B266" s="20" t="s">
        <v>798</v>
      </c>
      <c r="C266" s="19" t="s">
        <v>256</v>
      </c>
      <c r="D266" s="19"/>
      <c r="E266" s="21"/>
      <c r="F266" s="22" t="n">
        <f aca="false">IF(D266="",0,E266*INDEX(Gangs!$D:$D,MATCH(D266,Gangs!$A:$A,0)))</f>
        <v>0</v>
      </c>
      <c r="G266" s="19" t="s">
        <v>799</v>
      </c>
      <c r="H266" s="21" t="n">
        <v>1</v>
      </c>
      <c r="I266" s="19"/>
      <c r="J266" s="21"/>
      <c r="K266" s="19"/>
      <c r="L266" s="21"/>
      <c r="M266" s="22" t="n">
        <f aca="false">IF(G266="",0,H266*INDEX(Materials!$E:$E,MATCH(G266,Materials!$A:$A,0)))+IF(I266="",0,J266*INDEX(Materials!$E:$E,MATCH(I266,Materials!$A:$A,0)))+IF(K266="",0,L266*INDEX(Materials!$E:$E,MATCH(K266,Materials!$A:$A,0)))</f>
        <v>6800</v>
      </c>
      <c r="N266" s="23" t="n">
        <v>0</v>
      </c>
      <c r="O266" s="19"/>
      <c r="P266" s="21"/>
      <c r="Q266" s="22" t="n">
        <f aca="false">IF(O266="",0,P266*INDEX(Plant!$D:$D,MATCH(O266,Plant!$A:$A,0)))</f>
        <v>0</v>
      </c>
      <c r="R266" s="24" t="n">
        <f aca="false">F266+M266+N266+Q266</f>
        <v>6800</v>
      </c>
      <c r="S266" s="22" t="n">
        <f aca="false">R266*Settings!$B$4*Settings!$B$9</f>
        <v>6800</v>
      </c>
      <c r="T266" s="24" t="n">
        <f aca="false">S266*(1+Settings!$B$10)</f>
        <v>7956</v>
      </c>
    </row>
    <row r="267" customFormat="false" ht="15" hidden="false" customHeight="false" outlineLevel="0" collapsed="false">
      <c r="A267" s="19" t="s">
        <v>800</v>
      </c>
      <c r="B267" s="20" t="s">
        <v>801</v>
      </c>
      <c r="C267" s="19" t="s">
        <v>108</v>
      </c>
      <c r="D267" s="19" t="s">
        <v>571</v>
      </c>
      <c r="E267" s="21" t="n">
        <v>0.4</v>
      </c>
      <c r="F267" s="22" t="n">
        <f aca="false">IF(D267="",0,E267*INDEX(Gangs!$D:$D,MATCH(D267,Gangs!$A:$A,0)))</f>
        <v>33.16328</v>
      </c>
      <c r="G267" s="19" t="s">
        <v>802</v>
      </c>
      <c r="H267" s="21" t="n">
        <v>1</v>
      </c>
      <c r="I267" s="19"/>
      <c r="J267" s="21"/>
      <c r="K267" s="19"/>
      <c r="L267" s="21"/>
      <c r="M267" s="22" t="n">
        <f aca="false">IF(G267="",0,H267*INDEX(Materials!$E:$E,MATCH(G267,Materials!$A:$A,0)))+IF(I267="",0,J267*INDEX(Materials!$E:$E,MATCH(I267,Materials!$A:$A,0)))+IF(K267="",0,L267*INDEX(Materials!$E:$E,MATCH(K267,Materials!$A:$A,0)))</f>
        <v>180</v>
      </c>
      <c r="N267" s="23" t="n">
        <v>0</v>
      </c>
      <c r="O267" s="19"/>
      <c r="P267" s="21"/>
      <c r="Q267" s="22" t="n">
        <f aca="false">IF(O267="",0,P267*INDEX(Plant!$D:$D,MATCH(O267,Plant!$A:$A,0)))</f>
        <v>0</v>
      </c>
      <c r="R267" s="24" t="n">
        <f aca="false">F267+M267+N267+Q267</f>
        <v>213.16328</v>
      </c>
      <c r="S267" s="22" t="n">
        <f aca="false">R267*Settings!$B$4*Settings!$B$9</f>
        <v>213.16328</v>
      </c>
      <c r="T267" s="24" t="n">
        <f aca="false">S267*(1+Settings!$B$10)</f>
        <v>249.4010376</v>
      </c>
    </row>
    <row r="268" customFormat="false" ht="15" hidden="false" customHeight="false" outlineLevel="0" collapsed="false">
      <c r="A268" s="17" t="s">
        <v>803</v>
      </c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</row>
    <row r="269" customFormat="false" ht="15" hidden="false" customHeight="false" outlineLevel="0" collapsed="false">
      <c r="A269" s="19" t="s">
        <v>804</v>
      </c>
      <c r="B269" s="20" t="s">
        <v>805</v>
      </c>
      <c r="C269" s="19" t="s">
        <v>108</v>
      </c>
      <c r="D269" s="19" t="s">
        <v>571</v>
      </c>
      <c r="E269" s="21" t="n">
        <v>0.3</v>
      </c>
      <c r="F269" s="22" t="n">
        <f aca="false">IF(D269="",0,E269*INDEX(Gangs!$D:$D,MATCH(D269,Gangs!$A:$A,0)))</f>
        <v>24.87246</v>
      </c>
      <c r="G269" s="19" t="s">
        <v>806</v>
      </c>
      <c r="H269" s="21" t="n">
        <v>0.125</v>
      </c>
      <c r="I269" s="19" t="s">
        <v>807</v>
      </c>
      <c r="J269" s="21" t="n">
        <v>0.25</v>
      </c>
      <c r="K269" s="19"/>
      <c r="L269" s="21"/>
      <c r="M269" s="22" t="n">
        <f aca="false">IF(G269="",0,H269*INDEX(Materials!$E:$E,MATCH(G269,Materials!$A:$A,0)))+IF(I269="",0,J269*INDEX(Materials!$E:$E,MATCH(I269,Materials!$A:$A,0)))+IF(K269="",0,L269*INDEX(Materials!$E:$E,MATCH(K269,Materials!$A:$A,0)))</f>
        <v>19.875</v>
      </c>
      <c r="N269" s="23" t="n">
        <v>2</v>
      </c>
      <c r="O269" s="19"/>
      <c r="P269" s="21"/>
      <c r="Q269" s="22" t="n">
        <f aca="false">IF(O269="",0,P269*INDEX(Plant!$D:$D,MATCH(O269,Plant!$A:$A,0)))</f>
        <v>0</v>
      </c>
      <c r="R269" s="24" t="n">
        <f aca="false">F269+M269+N269+Q269</f>
        <v>46.74746</v>
      </c>
      <c r="S269" s="22" t="n">
        <f aca="false">R269*Settings!$B$4*Settings!$B$9</f>
        <v>46.74746</v>
      </c>
      <c r="T269" s="24" t="n">
        <f aca="false">S269*(1+Settings!$B$10)</f>
        <v>54.6945282</v>
      </c>
    </row>
    <row r="270" customFormat="false" ht="15" hidden="false" customHeight="false" outlineLevel="0" collapsed="false">
      <c r="A270" s="19" t="s">
        <v>808</v>
      </c>
      <c r="B270" s="20" t="s">
        <v>809</v>
      </c>
      <c r="C270" s="19" t="s">
        <v>108</v>
      </c>
      <c r="D270" s="19" t="s">
        <v>571</v>
      </c>
      <c r="E270" s="21" t="n">
        <v>0.36</v>
      </c>
      <c r="F270" s="22" t="n">
        <f aca="false">IF(D270="",0,E270*INDEX(Gangs!$D:$D,MATCH(D270,Gangs!$A:$A,0)))</f>
        <v>29.846952</v>
      </c>
      <c r="G270" s="19" t="s">
        <v>806</v>
      </c>
      <c r="H270" s="21" t="n">
        <v>0.125</v>
      </c>
      <c r="I270" s="19" t="s">
        <v>807</v>
      </c>
      <c r="J270" s="21" t="n">
        <v>0.25</v>
      </c>
      <c r="K270" s="19"/>
      <c r="L270" s="21"/>
      <c r="M270" s="22" t="n">
        <f aca="false">IF(G270="",0,H270*INDEX(Materials!$E:$E,MATCH(G270,Materials!$A:$A,0)))+IF(I270="",0,J270*INDEX(Materials!$E:$E,MATCH(I270,Materials!$A:$A,0)))+IF(K270="",0,L270*INDEX(Materials!$E:$E,MATCH(K270,Materials!$A:$A,0)))</f>
        <v>19.875</v>
      </c>
      <c r="N270" s="23" t="n">
        <v>2</v>
      </c>
      <c r="O270" s="19"/>
      <c r="P270" s="21"/>
      <c r="Q270" s="22" t="n">
        <f aca="false">IF(O270="",0,P270*INDEX(Plant!$D:$D,MATCH(O270,Plant!$A:$A,0)))</f>
        <v>0</v>
      </c>
      <c r="R270" s="24" t="n">
        <f aca="false">F270+M270+N270+Q270</f>
        <v>51.721952</v>
      </c>
      <c r="S270" s="22" t="n">
        <f aca="false">R270*Settings!$B$4*Settings!$B$9</f>
        <v>51.721952</v>
      </c>
      <c r="T270" s="24" t="n">
        <f aca="false">S270*(1+Settings!$B$10)</f>
        <v>60.51468384</v>
      </c>
    </row>
    <row r="271" customFormat="false" ht="15" hidden="false" customHeight="false" outlineLevel="0" collapsed="false">
      <c r="A271" s="19" t="s">
        <v>810</v>
      </c>
      <c r="B271" s="20" t="s">
        <v>811</v>
      </c>
      <c r="C271" s="19" t="s">
        <v>108</v>
      </c>
      <c r="D271" s="19" t="s">
        <v>571</v>
      </c>
      <c r="E271" s="21" t="n">
        <v>0.35</v>
      </c>
      <c r="F271" s="22" t="n">
        <f aca="false">IF(D271="",0,E271*INDEX(Gangs!$D:$D,MATCH(D271,Gangs!$A:$A,0)))</f>
        <v>29.01787</v>
      </c>
      <c r="G271" s="19" t="s">
        <v>806</v>
      </c>
      <c r="H271" s="21" t="n">
        <v>0.125</v>
      </c>
      <c r="I271" s="19" t="s">
        <v>812</v>
      </c>
      <c r="J271" s="21" t="n">
        <v>0.28</v>
      </c>
      <c r="K271" s="19"/>
      <c r="L271" s="21"/>
      <c r="M271" s="22" t="n">
        <f aca="false">IF(G271="",0,H271*INDEX(Materials!$E:$E,MATCH(G271,Materials!$A:$A,0)))+IF(I271="",0,J271*INDEX(Materials!$E:$E,MATCH(I271,Materials!$A:$A,0)))+IF(K271="",0,L271*INDEX(Materials!$E:$E,MATCH(K271,Materials!$A:$A,0)))</f>
        <v>29.275</v>
      </c>
      <c r="N271" s="23" t="n">
        <v>3</v>
      </c>
      <c r="O271" s="19"/>
      <c r="P271" s="21"/>
      <c r="Q271" s="22" t="n">
        <f aca="false">IF(O271="",0,P271*INDEX(Plant!$D:$D,MATCH(O271,Plant!$A:$A,0)))</f>
        <v>0</v>
      </c>
      <c r="R271" s="24" t="n">
        <f aca="false">F271+M271+N271+Q271</f>
        <v>61.29287</v>
      </c>
      <c r="S271" s="22" t="n">
        <f aca="false">R271*Settings!$B$4*Settings!$B$9</f>
        <v>61.29287</v>
      </c>
      <c r="T271" s="24" t="n">
        <f aca="false">S271*(1+Settings!$B$10)</f>
        <v>71.7126579</v>
      </c>
    </row>
    <row r="272" customFormat="false" ht="15" hidden="false" customHeight="false" outlineLevel="0" collapsed="false">
      <c r="A272" s="19" t="s">
        <v>813</v>
      </c>
      <c r="B272" s="20" t="s">
        <v>814</v>
      </c>
      <c r="C272" s="19" t="s">
        <v>108</v>
      </c>
      <c r="D272" s="19" t="s">
        <v>571</v>
      </c>
      <c r="E272" s="21" t="n">
        <v>0.38</v>
      </c>
      <c r="F272" s="22" t="n">
        <f aca="false">IF(D272="",0,E272*INDEX(Gangs!$D:$D,MATCH(D272,Gangs!$A:$A,0)))</f>
        <v>31.505116</v>
      </c>
      <c r="G272" s="19" t="s">
        <v>806</v>
      </c>
      <c r="H272" s="21" t="n">
        <v>0.125</v>
      </c>
      <c r="I272" s="19" t="s">
        <v>815</v>
      </c>
      <c r="J272" s="21" t="n">
        <v>0.4</v>
      </c>
      <c r="K272" s="19"/>
      <c r="L272" s="21"/>
      <c r="M272" s="22" t="n">
        <f aca="false">IF(G272="",0,H272*INDEX(Materials!$E:$E,MATCH(G272,Materials!$A:$A,0)))+IF(I272="",0,J272*INDEX(Materials!$E:$E,MATCH(I272,Materials!$A:$A,0)))+IF(K272="",0,L272*INDEX(Materials!$E:$E,MATCH(K272,Materials!$A:$A,0)))</f>
        <v>54.875</v>
      </c>
      <c r="N272" s="23" t="n">
        <v>3</v>
      </c>
      <c r="O272" s="19"/>
      <c r="P272" s="21"/>
      <c r="Q272" s="22" t="n">
        <f aca="false">IF(O272="",0,P272*INDEX(Plant!$D:$D,MATCH(O272,Plant!$A:$A,0)))</f>
        <v>0</v>
      </c>
      <c r="R272" s="24" t="n">
        <f aca="false">F272+M272+N272+Q272</f>
        <v>89.380116</v>
      </c>
      <c r="S272" s="22" t="n">
        <f aca="false">R272*Settings!$B$4*Settings!$B$9</f>
        <v>89.380116</v>
      </c>
      <c r="T272" s="24" t="n">
        <f aca="false">S272*(1+Settings!$B$10)</f>
        <v>104.57473572</v>
      </c>
    </row>
    <row r="273" customFormat="false" ht="15" hidden="false" customHeight="false" outlineLevel="0" collapsed="false">
      <c r="A273" s="19" t="s">
        <v>816</v>
      </c>
      <c r="B273" s="20" t="s">
        <v>817</v>
      </c>
      <c r="C273" s="19" t="s">
        <v>108</v>
      </c>
      <c r="D273" s="19" t="s">
        <v>571</v>
      </c>
      <c r="E273" s="21" t="n">
        <v>0.45</v>
      </c>
      <c r="F273" s="22" t="n">
        <f aca="false">IF(D273="",0,E273*INDEX(Gangs!$D:$D,MATCH(D273,Gangs!$A:$A,0)))</f>
        <v>37.30869</v>
      </c>
      <c r="G273" s="19" t="s">
        <v>818</v>
      </c>
      <c r="H273" s="21" t="n">
        <v>0.1</v>
      </c>
      <c r="I273" s="19" t="s">
        <v>819</v>
      </c>
      <c r="J273" s="21" t="n">
        <v>0.2</v>
      </c>
      <c r="K273" s="19"/>
      <c r="L273" s="21"/>
      <c r="M273" s="22" t="n">
        <f aca="false">IF(G273="",0,H273*INDEX(Materials!$E:$E,MATCH(G273,Materials!$A:$A,0)))+IF(I273="",0,J273*INDEX(Materials!$E:$E,MATCH(I273,Materials!$A:$A,0)))+IF(K273="",0,L273*INDEX(Materials!$E:$E,MATCH(K273,Materials!$A:$A,0)))</f>
        <v>32.4</v>
      </c>
      <c r="N273" s="23" t="n">
        <v>0</v>
      </c>
      <c r="O273" s="19"/>
      <c r="P273" s="21"/>
      <c r="Q273" s="22" t="n">
        <f aca="false">IF(O273="",0,P273*INDEX(Plant!$D:$D,MATCH(O273,Plant!$A:$A,0)))</f>
        <v>0</v>
      </c>
      <c r="R273" s="24" t="n">
        <f aca="false">F273+M273+N273+Q273</f>
        <v>69.70869</v>
      </c>
      <c r="S273" s="22" t="n">
        <f aca="false">R273*Settings!$B$4*Settings!$B$9</f>
        <v>69.70869</v>
      </c>
      <c r="T273" s="24" t="n">
        <f aca="false">S273*(1+Settings!$B$10)</f>
        <v>81.5591673</v>
      </c>
    </row>
    <row r="274" customFormat="false" ht="15" hidden="false" customHeight="false" outlineLevel="0" collapsed="false">
      <c r="A274" s="19" t="s">
        <v>820</v>
      </c>
      <c r="B274" s="20" t="s">
        <v>821</v>
      </c>
      <c r="C274" s="19" t="s">
        <v>108</v>
      </c>
      <c r="D274" s="19" t="s">
        <v>571</v>
      </c>
      <c r="E274" s="21" t="n">
        <v>0.5</v>
      </c>
      <c r="F274" s="22" t="n">
        <f aca="false">IF(D274="",0,E274*INDEX(Gangs!$D:$D,MATCH(D274,Gangs!$A:$A,0)))</f>
        <v>41.4541</v>
      </c>
      <c r="G274" s="19" t="s">
        <v>822</v>
      </c>
      <c r="H274" s="21" t="n">
        <v>0.1</v>
      </c>
      <c r="I274" s="19" t="s">
        <v>818</v>
      </c>
      <c r="J274" s="21" t="n">
        <v>0.1</v>
      </c>
      <c r="K274" s="19" t="s">
        <v>819</v>
      </c>
      <c r="L274" s="21" t="n">
        <v>0.2</v>
      </c>
      <c r="M274" s="22" t="n">
        <f aca="false">IF(G274="",0,H274*INDEX(Materials!$E:$E,MATCH(G274,Materials!$A:$A,0)))+IF(I274="",0,J274*INDEX(Materials!$E:$E,MATCH(I274,Materials!$A:$A,0)))+IF(K274="",0,L274*INDEX(Materials!$E:$E,MATCH(K274,Materials!$A:$A,0)))</f>
        <v>42.9</v>
      </c>
      <c r="N274" s="23" t="n">
        <v>0</v>
      </c>
      <c r="O274" s="19"/>
      <c r="P274" s="21"/>
      <c r="Q274" s="22" t="n">
        <f aca="false">IF(O274="",0,P274*INDEX(Plant!$D:$D,MATCH(O274,Plant!$A:$A,0)))</f>
        <v>0</v>
      </c>
      <c r="R274" s="24" t="n">
        <f aca="false">F274+M274+N274+Q274</f>
        <v>84.3541</v>
      </c>
      <c r="S274" s="22" t="n">
        <f aca="false">R274*Settings!$B$4*Settings!$B$9</f>
        <v>84.3541</v>
      </c>
      <c r="T274" s="24" t="n">
        <f aca="false">S274*(1+Settings!$B$10)</f>
        <v>98.694297</v>
      </c>
    </row>
    <row r="275" customFormat="false" ht="15" hidden="false" customHeight="false" outlineLevel="0" collapsed="false">
      <c r="A275" s="19" t="s">
        <v>823</v>
      </c>
      <c r="B275" s="20" t="s">
        <v>824</v>
      </c>
      <c r="C275" s="19" t="s">
        <v>96</v>
      </c>
      <c r="D275" s="19" t="s">
        <v>571</v>
      </c>
      <c r="E275" s="21" t="n">
        <v>2</v>
      </c>
      <c r="F275" s="22" t="n">
        <f aca="false">IF(D275="",0,E275*INDEX(Gangs!$D:$D,MATCH(D275,Gangs!$A:$A,0)))</f>
        <v>165.8164</v>
      </c>
      <c r="G275" s="19" t="s">
        <v>818</v>
      </c>
      <c r="H275" s="21" t="n">
        <v>0.4</v>
      </c>
      <c r="I275" s="19" t="s">
        <v>819</v>
      </c>
      <c r="J275" s="21" t="n">
        <v>0.8</v>
      </c>
      <c r="K275" s="19"/>
      <c r="L275" s="21"/>
      <c r="M275" s="22" t="n">
        <f aca="false">IF(G275="",0,H275*INDEX(Materials!$E:$E,MATCH(G275,Materials!$A:$A,0)))+IF(I275="",0,J275*INDEX(Materials!$E:$E,MATCH(I275,Materials!$A:$A,0)))+IF(K275="",0,L275*INDEX(Materials!$E:$E,MATCH(K275,Materials!$A:$A,0)))</f>
        <v>129.6</v>
      </c>
      <c r="N275" s="23" t="n">
        <v>0</v>
      </c>
      <c r="O275" s="19"/>
      <c r="P275" s="21"/>
      <c r="Q275" s="22" t="n">
        <f aca="false">IF(O275="",0,P275*INDEX(Plant!$D:$D,MATCH(O275,Plant!$A:$A,0)))</f>
        <v>0</v>
      </c>
      <c r="R275" s="24" t="n">
        <f aca="false">F275+M275+N275+Q275</f>
        <v>295.4164</v>
      </c>
      <c r="S275" s="22" t="n">
        <f aca="false">R275*Settings!$B$4*Settings!$B$9</f>
        <v>295.4164</v>
      </c>
      <c r="T275" s="24" t="n">
        <f aca="false">S275*(1+Settings!$B$10)</f>
        <v>345.637188</v>
      </c>
    </row>
    <row r="276" customFormat="false" ht="15" hidden="false" customHeight="false" outlineLevel="0" collapsed="false">
      <c r="A276" s="19" t="s">
        <v>825</v>
      </c>
      <c r="B276" s="20" t="s">
        <v>826</v>
      </c>
      <c r="C276" s="19" t="s">
        <v>108</v>
      </c>
      <c r="D276" s="19" t="s">
        <v>571</v>
      </c>
      <c r="E276" s="21" t="n">
        <v>0.35</v>
      </c>
      <c r="F276" s="22" t="n">
        <f aca="false">IF(D276="",0,E276*INDEX(Gangs!$D:$D,MATCH(D276,Gangs!$A:$A,0)))</f>
        <v>29.01787</v>
      </c>
      <c r="G276" s="19" t="s">
        <v>827</v>
      </c>
      <c r="H276" s="21" t="n">
        <v>0.2</v>
      </c>
      <c r="I276" s="19"/>
      <c r="J276" s="21"/>
      <c r="K276" s="19"/>
      <c r="L276" s="21"/>
      <c r="M276" s="22" t="n">
        <f aca="false">IF(G276="",0,H276*INDEX(Materials!$E:$E,MATCH(G276,Materials!$A:$A,0)))+IF(I276="",0,J276*INDEX(Materials!$E:$E,MATCH(I276,Materials!$A:$A,0)))+IF(K276="",0,L276*INDEX(Materials!$E:$E,MATCH(K276,Materials!$A:$A,0)))</f>
        <v>26</v>
      </c>
      <c r="N276" s="23" t="n">
        <v>0</v>
      </c>
      <c r="O276" s="19"/>
      <c r="P276" s="21"/>
      <c r="Q276" s="22" t="n">
        <f aca="false">IF(O276="",0,P276*INDEX(Plant!$D:$D,MATCH(O276,Plant!$A:$A,0)))</f>
        <v>0</v>
      </c>
      <c r="R276" s="24" t="n">
        <f aca="false">F276+M276+N276+Q276</f>
        <v>55.01787</v>
      </c>
      <c r="S276" s="22" t="n">
        <f aca="false">R276*Settings!$B$4*Settings!$B$9</f>
        <v>55.01787</v>
      </c>
      <c r="T276" s="24" t="n">
        <f aca="false">S276*(1+Settings!$B$10)</f>
        <v>64.3709079</v>
      </c>
    </row>
    <row r="277" customFormat="false" ht="15" hidden="false" customHeight="false" outlineLevel="0" collapsed="false">
      <c r="A277" s="19" t="s">
        <v>828</v>
      </c>
      <c r="B277" s="20" t="s">
        <v>829</v>
      </c>
      <c r="C277" s="19" t="s">
        <v>256</v>
      </c>
      <c r="D277" s="19" t="s">
        <v>571</v>
      </c>
      <c r="E277" s="21" t="n">
        <v>0.08</v>
      </c>
      <c r="F277" s="22" t="n">
        <f aca="false">IF(D277="",0,E277*INDEX(Gangs!$D:$D,MATCH(D277,Gangs!$A:$A,0)))</f>
        <v>6.632656</v>
      </c>
      <c r="G277" s="19" t="s">
        <v>818</v>
      </c>
      <c r="H277" s="21" t="n">
        <v>0.015</v>
      </c>
      <c r="I277" s="19" t="s">
        <v>819</v>
      </c>
      <c r="J277" s="21" t="n">
        <v>0.03</v>
      </c>
      <c r="K277" s="19"/>
      <c r="L277" s="21"/>
      <c r="M277" s="22" t="n">
        <f aca="false">IF(G277="",0,H277*INDEX(Materials!$E:$E,MATCH(G277,Materials!$A:$A,0)))+IF(I277="",0,J277*INDEX(Materials!$E:$E,MATCH(I277,Materials!$A:$A,0)))+IF(K277="",0,L277*INDEX(Materials!$E:$E,MATCH(K277,Materials!$A:$A,0)))</f>
        <v>4.86</v>
      </c>
      <c r="N277" s="23" t="n">
        <v>0</v>
      </c>
      <c r="O277" s="19"/>
      <c r="P277" s="21"/>
      <c r="Q277" s="22" t="n">
        <f aca="false">IF(O277="",0,P277*INDEX(Plant!$D:$D,MATCH(O277,Plant!$A:$A,0)))</f>
        <v>0</v>
      </c>
      <c r="R277" s="24" t="n">
        <f aca="false">F277+M277+N277+Q277</f>
        <v>11.492656</v>
      </c>
      <c r="S277" s="22" t="n">
        <f aca="false">R277*Settings!$B$4*Settings!$B$9</f>
        <v>11.492656</v>
      </c>
      <c r="T277" s="24" t="n">
        <f aca="false">S277*(1+Settings!$B$10)</f>
        <v>13.44640752</v>
      </c>
    </row>
    <row r="278" customFormat="false" ht="15" hidden="false" customHeight="false" outlineLevel="0" collapsed="false">
      <c r="A278" s="19" t="s">
        <v>830</v>
      </c>
      <c r="B278" s="20" t="s">
        <v>831</v>
      </c>
      <c r="C278" s="19" t="s">
        <v>108</v>
      </c>
      <c r="D278" s="19" t="s">
        <v>571</v>
      </c>
      <c r="E278" s="21" t="n">
        <v>0.2</v>
      </c>
      <c r="F278" s="22" t="n">
        <f aca="false">IF(D278="",0,E278*INDEX(Gangs!$D:$D,MATCH(D278,Gangs!$A:$A,0)))</f>
        <v>16.58164</v>
      </c>
      <c r="G278" s="19" t="s">
        <v>832</v>
      </c>
      <c r="H278" s="21" t="n">
        <v>0.3</v>
      </c>
      <c r="I278" s="19"/>
      <c r="J278" s="21"/>
      <c r="K278" s="19"/>
      <c r="L278" s="21"/>
      <c r="M278" s="22" t="n">
        <f aca="false">IF(G278="",0,H278*INDEX(Materials!$E:$E,MATCH(G278,Materials!$A:$A,0)))+IF(I278="",0,J278*INDEX(Materials!$E:$E,MATCH(I278,Materials!$A:$A,0)))+IF(K278="",0,L278*INDEX(Materials!$E:$E,MATCH(K278,Materials!$A:$A,0)))</f>
        <v>28.5</v>
      </c>
      <c r="N278" s="23" t="n">
        <v>0</v>
      </c>
      <c r="O278" s="19"/>
      <c r="P278" s="21"/>
      <c r="Q278" s="22" t="n">
        <f aca="false">IF(O278="",0,P278*INDEX(Plant!$D:$D,MATCH(O278,Plant!$A:$A,0)))</f>
        <v>0</v>
      </c>
      <c r="R278" s="24" t="n">
        <f aca="false">F278+M278+N278+Q278</f>
        <v>45.08164</v>
      </c>
      <c r="S278" s="22" t="n">
        <f aca="false">R278*Settings!$B$4*Settings!$B$9</f>
        <v>45.08164</v>
      </c>
      <c r="T278" s="24" t="n">
        <f aca="false">S278*(1+Settings!$B$10)</f>
        <v>52.7455188</v>
      </c>
    </row>
    <row r="279" customFormat="false" ht="15" hidden="false" customHeight="false" outlineLevel="0" collapsed="false">
      <c r="A279" s="19" t="s">
        <v>833</v>
      </c>
      <c r="B279" s="20" t="s">
        <v>834</v>
      </c>
      <c r="C279" s="19" t="s">
        <v>108</v>
      </c>
      <c r="D279" s="19" t="s">
        <v>571</v>
      </c>
      <c r="E279" s="21" t="n">
        <v>0.3</v>
      </c>
      <c r="F279" s="22" t="n">
        <f aca="false">IF(D279="",0,E279*INDEX(Gangs!$D:$D,MATCH(D279,Gangs!$A:$A,0)))</f>
        <v>24.87246</v>
      </c>
      <c r="G279" s="19" t="s">
        <v>807</v>
      </c>
      <c r="H279" s="21" t="n">
        <v>0.25</v>
      </c>
      <c r="I279" s="19"/>
      <c r="J279" s="21"/>
      <c r="K279" s="19"/>
      <c r="L279" s="21"/>
      <c r="M279" s="22" t="n">
        <f aca="false">IF(G279="",0,H279*INDEX(Materials!$E:$E,MATCH(G279,Materials!$A:$A,0)))+IF(I279="",0,J279*INDEX(Materials!$E:$E,MATCH(I279,Materials!$A:$A,0)))+IF(K279="",0,L279*INDEX(Materials!$E:$E,MATCH(K279,Materials!$A:$A,0)))</f>
        <v>13</v>
      </c>
      <c r="N279" s="23" t="n">
        <v>4</v>
      </c>
      <c r="O279" s="19"/>
      <c r="P279" s="21"/>
      <c r="Q279" s="22" t="n">
        <f aca="false">IF(O279="",0,P279*INDEX(Plant!$D:$D,MATCH(O279,Plant!$A:$A,0)))</f>
        <v>0</v>
      </c>
      <c r="R279" s="24" t="n">
        <f aca="false">F279+M279+N279+Q279</f>
        <v>41.87246</v>
      </c>
      <c r="S279" s="22" t="n">
        <f aca="false">R279*Settings!$B$4*Settings!$B$9</f>
        <v>41.87246</v>
      </c>
      <c r="T279" s="24" t="n">
        <f aca="false">S279*(1+Settings!$B$10)</f>
        <v>48.9907782</v>
      </c>
    </row>
    <row r="280" customFormat="false" ht="15" hidden="false" customHeight="false" outlineLevel="0" collapsed="false">
      <c r="A280" s="17" t="s">
        <v>835</v>
      </c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</row>
    <row r="281" customFormat="false" ht="15" hidden="false" customHeight="false" outlineLevel="0" collapsed="false">
      <c r="A281" s="19" t="s">
        <v>836</v>
      </c>
      <c r="B281" s="20" t="s">
        <v>837</v>
      </c>
      <c r="C281" s="19" t="s">
        <v>108</v>
      </c>
      <c r="D281" s="19" t="s">
        <v>481</v>
      </c>
      <c r="E281" s="21" t="n">
        <v>0.8</v>
      </c>
      <c r="F281" s="22" t="n">
        <f aca="false">IF(D281="",0,E281*INDEX(Gangs!$D:$D,MATCH(D281,Gangs!$A:$A,0)))</f>
        <v>90.4126</v>
      </c>
      <c r="G281" s="19" t="s">
        <v>838</v>
      </c>
      <c r="H281" s="21" t="n">
        <v>1.1</v>
      </c>
      <c r="I281" s="19"/>
      <c r="J281" s="21"/>
      <c r="K281" s="19"/>
      <c r="L281" s="21"/>
      <c r="M281" s="22" t="n">
        <f aca="false">IF(G281="",0,H281*INDEX(Materials!$E:$E,MATCH(G281,Materials!$A:$A,0)))+IF(I281="",0,J281*INDEX(Materials!$E:$E,MATCH(I281,Materials!$A:$A,0)))+IF(K281="",0,L281*INDEX(Materials!$E:$E,MATCH(K281,Materials!$A:$A,0)))</f>
        <v>319</v>
      </c>
      <c r="N281" s="23" t="n">
        <v>15</v>
      </c>
      <c r="O281" s="19"/>
      <c r="P281" s="21"/>
      <c r="Q281" s="22" t="n">
        <f aca="false">IF(O281="",0,P281*INDEX(Plant!$D:$D,MATCH(O281,Plant!$A:$A,0)))</f>
        <v>0</v>
      </c>
      <c r="R281" s="24" t="n">
        <f aca="false">F281+M281+N281+Q281</f>
        <v>424.4126</v>
      </c>
      <c r="S281" s="22" t="n">
        <f aca="false">R281*Settings!$B$4*Settings!$B$9</f>
        <v>424.4126</v>
      </c>
      <c r="T281" s="24" t="n">
        <f aca="false">S281*(1+Settings!$B$10)</f>
        <v>496.562742</v>
      </c>
    </row>
    <row r="282" customFormat="false" ht="15" hidden="false" customHeight="false" outlineLevel="0" collapsed="false">
      <c r="A282" s="19" t="s">
        <v>839</v>
      </c>
      <c r="B282" s="20" t="s">
        <v>840</v>
      </c>
      <c r="C282" s="19" t="s">
        <v>108</v>
      </c>
      <c r="D282" s="19" t="s">
        <v>481</v>
      </c>
      <c r="E282" s="21" t="n">
        <v>1</v>
      </c>
      <c r="F282" s="22" t="n">
        <f aca="false">IF(D282="",0,E282*INDEX(Gangs!$D:$D,MATCH(D282,Gangs!$A:$A,0)))</f>
        <v>113.01575</v>
      </c>
      <c r="G282" s="19" t="s">
        <v>841</v>
      </c>
      <c r="H282" s="21" t="n">
        <v>1.1</v>
      </c>
      <c r="I282" s="19"/>
      <c r="J282" s="21"/>
      <c r="K282" s="19"/>
      <c r="L282" s="21"/>
      <c r="M282" s="22" t="n">
        <f aca="false">IF(G282="",0,H282*INDEX(Materials!$E:$E,MATCH(G282,Materials!$A:$A,0)))+IF(I282="",0,J282*INDEX(Materials!$E:$E,MATCH(I282,Materials!$A:$A,0)))+IF(K282="",0,L282*INDEX(Materials!$E:$E,MATCH(K282,Materials!$A:$A,0)))</f>
        <v>748</v>
      </c>
      <c r="N282" s="23" t="n">
        <v>15</v>
      </c>
      <c r="O282" s="19"/>
      <c r="P282" s="21"/>
      <c r="Q282" s="22" t="n">
        <f aca="false">IF(O282="",0,P282*INDEX(Plant!$D:$D,MATCH(O282,Plant!$A:$A,0)))</f>
        <v>0</v>
      </c>
      <c r="R282" s="24" t="n">
        <f aca="false">F282+M282+N282+Q282</f>
        <v>876.01575</v>
      </c>
      <c r="S282" s="22" t="n">
        <f aca="false">R282*Settings!$B$4*Settings!$B$9</f>
        <v>876.01575</v>
      </c>
      <c r="T282" s="24" t="n">
        <f aca="false">S282*(1+Settings!$B$10)</f>
        <v>1024.9384275</v>
      </c>
    </row>
    <row r="283" customFormat="false" ht="15" hidden="false" customHeight="false" outlineLevel="0" collapsed="false">
      <c r="A283" s="19" t="s">
        <v>842</v>
      </c>
      <c r="B283" s="20" t="s">
        <v>843</v>
      </c>
      <c r="C283" s="19" t="s">
        <v>108</v>
      </c>
      <c r="D283" s="19" t="s">
        <v>481</v>
      </c>
      <c r="E283" s="21" t="n">
        <v>0.6</v>
      </c>
      <c r="F283" s="22" t="n">
        <f aca="false">IF(D283="",0,E283*INDEX(Gangs!$D:$D,MATCH(D283,Gangs!$A:$A,0)))</f>
        <v>67.80945</v>
      </c>
      <c r="G283" s="19" t="s">
        <v>844</v>
      </c>
      <c r="H283" s="21" t="n">
        <v>1.05</v>
      </c>
      <c r="I283" s="19"/>
      <c r="J283" s="21"/>
      <c r="K283" s="19"/>
      <c r="L283" s="21"/>
      <c r="M283" s="22" t="n">
        <f aca="false">IF(G283="",0,H283*INDEX(Materials!$E:$E,MATCH(G283,Materials!$A:$A,0)))+IF(I283="",0,J283*INDEX(Materials!$E:$E,MATCH(I283,Materials!$A:$A,0)))+IF(K283="",0,L283*INDEX(Materials!$E:$E,MATCH(K283,Materials!$A:$A,0)))</f>
        <v>651</v>
      </c>
      <c r="N283" s="23" t="n">
        <v>20</v>
      </c>
      <c r="O283" s="19"/>
      <c r="P283" s="21"/>
      <c r="Q283" s="22" t="n">
        <f aca="false">IF(O283="",0,P283*INDEX(Plant!$D:$D,MATCH(O283,Plant!$A:$A,0)))</f>
        <v>0</v>
      </c>
      <c r="R283" s="24" t="n">
        <f aca="false">F283+M283+N283+Q283</f>
        <v>738.80945</v>
      </c>
      <c r="S283" s="22" t="n">
        <f aca="false">R283*Settings!$B$4*Settings!$B$9</f>
        <v>738.80945</v>
      </c>
      <c r="T283" s="24" t="n">
        <f aca="false">S283*(1+Settings!$B$10)</f>
        <v>864.4070565</v>
      </c>
    </row>
    <row r="284" customFormat="false" ht="15" hidden="false" customHeight="false" outlineLevel="0" collapsed="false">
      <c r="A284" s="19" t="s">
        <v>845</v>
      </c>
      <c r="B284" s="20" t="s">
        <v>846</v>
      </c>
      <c r="C284" s="19" t="s">
        <v>108</v>
      </c>
      <c r="D284" s="19" t="s">
        <v>481</v>
      </c>
      <c r="E284" s="21" t="n">
        <v>1.2</v>
      </c>
      <c r="F284" s="22" t="n">
        <f aca="false">IF(D284="",0,E284*INDEX(Gangs!$D:$D,MATCH(D284,Gangs!$A:$A,0)))</f>
        <v>135.6189</v>
      </c>
      <c r="G284" s="19" t="s">
        <v>847</v>
      </c>
      <c r="H284" s="21" t="n">
        <v>1.05</v>
      </c>
      <c r="I284" s="19"/>
      <c r="J284" s="21"/>
      <c r="K284" s="19"/>
      <c r="L284" s="21"/>
      <c r="M284" s="22" t="n">
        <f aca="false">IF(G284="",0,H284*INDEX(Materials!$E:$E,MATCH(G284,Materials!$A:$A,0)))+IF(I284="",0,J284*INDEX(Materials!$E:$E,MATCH(I284,Materials!$A:$A,0)))+IF(K284="",0,L284*INDEX(Materials!$E:$E,MATCH(K284,Materials!$A:$A,0)))</f>
        <v>1732.5</v>
      </c>
      <c r="N284" s="23" t="n">
        <v>20</v>
      </c>
      <c r="O284" s="19"/>
      <c r="P284" s="21"/>
      <c r="Q284" s="22" t="n">
        <f aca="false">IF(O284="",0,P284*INDEX(Plant!$D:$D,MATCH(O284,Plant!$A:$A,0)))</f>
        <v>0</v>
      </c>
      <c r="R284" s="24" t="n">
        <f aca="false">F284+M284+N284+Q284</f>
        <v>1888.1189</v>
      </c>
      <c r="S284" s="22" t="n">
        <f aca="false">R284*Settings!$B$4*Settings!$B$9</f>
        <v>1888.1189</v>
      </c>
      <c r="T284" s="24" t="n">
        <f aca="false">S284*(1+Settings!$B$10)</f>
        <v>2209.099113</v>
      </c>
    </row>
    <row r="285" customFormat="false" ht="15" hidden="false" customHeight="false" outlineLevel="0" collapsed="false">
      <c r="A285" s="17" t="s">
        <v>848</v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</row>
    <row r="286" customFormat="false" ht="15" hidden="false" customHeight="false" outlineLevel="0" collapsed="false">
      <c r="A286" s="19" t="s">
        <v>849</v>
      </c>
      <c r="B286" s="20" t="s">
        <v>850</v>
      </c>
      <c r="C286" s="19" t="s">
        <v>108</v>
      </c>
      <c r="D286" s="19" t="s">
        <v>851</v>
      </c>
      <c r="E286" s="21" t="n">
        <v>0.45</v>
      </c>
      <c r="F286" s="22" t="n">
        <f aca="false">IF(D286="",0,E286*INDEX(Gangs!$D:$D,MATCH(D286,Gangs!$A:$A,0)))</f>
        <v>85.106835</v>
      </c>
      <c r="G286" s="19" t="s">
        <v>852</v>
      </c>
      <c r="H286" s="21" t="n">
        <v>1.05</v>
      </c>
      <c r="I286" s="19" t="s">
        <v>625</v>
      </c>
      <c r="J286" s="21" t="n">
        <v>0.03</v>
      </c>
      <c r="K286" s="19" t="s">
        <v>191</v>
      </c>
      <c r="L286" s="21" t="n">
        <v>0.19</v>
      </c>
      <c r="M286" s="22" t="n">
        <f aca="false">IF(G286="",0,H286*INDEX(Materials!$E:$E,MATCH(G286,Materials!$A:$A,0)))+IF(I286="",0,J286*INDEX(Materials!$E:$E,MATCH(I286,Materials!$A:$A,0)))+IF(K286="",0,L286*INDEX(Materials!$E:$E,MATCH(K286,Materials!$A:$A,0)))</f>
        <v>255.15</v>
      </c>
      <c r="N286" s="23" t="n">
        <v>0</v>
      </c>
      <c r="O286" s="19" t="s">
        <v>188</v>
      </c>
      <c r="P286" s="21" t="n">
        <v>0.01</v>
      </c>
      <c r="Q286" s="22" t="n">
        <f aca="false">IF(O286="",0,P286*INDEX(Plant!$D:$D,MATCH(O286,Plant!$A:$A,0)))</f>
        <v>3.8</v>
      </c>
      <c r="R286" s="24" t="n">
        <f aca="false">F286+M286+N286+Q286</f>
        <v>344.056835</v>
      </c>
      <c r="S286" s="22" t="n">
        <f aca="false">R286*Settings!$B$4*Settings!$B$9</f>
        <v>344.056835</v>
      </c>
      <c r="T286" s="24" t="n">
        <f aca="false">S286*(1+Settings!$B$10)</f>
        <v>402.54649695</v>
      </c>
    </row>
    <row r="287" customFormat="false" ht="15" hidden="false" customHeight="false" outlineLevel="0" collapsed="false">
      <c r="A287" s="19" t="s">
        <v>853</v>
      </c>
      <c r="B287" s="20" t="s">
        <v>854</v>
      </c>
      <c r="C287" s="19" t="s">
        <v>108</v>
      </c>
      <c r="D287" s="19" t="s">
        <v>851</v>
      </c>
      <c r="E287" s="21" t="n">
        <v>0.4</v>
      </c>
      <c r="F287" s="22" t="n">
        <f aca="false">IF(D287="",0,E287*INDEX(Gangs!$D:$D,MATCH(D287,Gangs!$A:$A,0)))</f>
        <v>75.65052</v>
      </c>
      <c r="G287" s="19" t="s">
        <v>855</v>
      </c>
      <c r="H287" s="21" t="n">
        <v>1.05</v>
      </c>
      <c r="I287" s="19" t="s">
        <v>625</v>
      </c>
      <c r="J287" s="21" t="n">
        <v>0.03</v>
      </c>
      <c r="K287" s="19" t="s">
        <v>191</v>
      </c>
      <c r="L287" s="21" t="n">
        <v>0.12</v>
      </c>
      <c r="M287" s="22" t="n">
        <f aca="false">IF(G287="",0,H287*INDEX(Materials!$E:$E,MATCH(G287,Materials!$A:$A,0)))+IF(I287="",0,J287*INDEX(Materials!$E:$E,MATCH(I287,Materials!$A:$A,0)))+IF(K287="",0,L287*INDEX(Materials!$E:$E,MATCH(K287,Materials!$A:$A,0)))</f>
        <v>205.8</v>
      </c>
      <c r="N287" s="23" t="n">
        <v>0</v>
      </c>
      <c r="O287" s="19" t="s">
        <v>188</v>
      </c>
      <c r="P287" s="21" t="n">
        <v>0.01</v>
      </c>
      <c r="Q287" s="22" t="n">
        <f aca="false">IF(O287="",0,P287*INDEX(Plant!$D:$D,MATCH(O287,Plant!$A:$A,0)))</f>
        <v>3.8</v>
      </c>
      <c r="R287" s="24" t="n">
        <f aca="false">F287+M287+N287+Q287</f>
        <v>285.25052</v>
      </c>
      <c r="S287" s="22" t="n">
        <f aca="false">R287*Settings!$B$4*Settings!$B$9</f>
        <v>285.25052</v>
      </c>
      <c r="T287" s="24" t="n">
        <f aca="false">S287*(1+Settings!$B$10)</f>
        <v>333.7431084</v>
      </c>
    </row>
    <row r="288" customFormat="false" ht="15" hidden="false" customHeight="false" outlineLevel="0" collapsed="false">
      <c r="A288" s="19" t="s">
        <v>856</v>
      </c>
      <c r="B288" s="20" t="s">
        <v>857</v>
      </c>
      <c r="C288" s="19" t="s">
        <v>256</v>
      </c>
      <c r="D288" s="19" t="s">
        <v>851</v>
      </c>
      <c r="E288" s="21" t="n">
        <v>0.25</v>
      </c>
      <c r="F288" s="22" t="n">
        <f aca="false">IF(D288="",0,E288*INDEX(Gangs!$D:$D,MATCH(D288,Gangs!$A:$A,0)))</f>
        <v>47.281575</v>
      </c>
      <c r="G288" s="19" t="s">
        <v>858</v>
      </c>
      <c r="H288" s="21" t="n">
        <v>1.02</v>
      </c>
      <c r="I288" s="19" t="s">
        <v>207</v>
      </c>
      <c r="J288" s="21" t="n">
        <v>0.04</v>
      </c>
      <c r="K288" s="19"/>
      <c r="L288" s="21"/>
      <c r="M288" s="22" t="n">
        <f aca="false">IF(G288="",0,H288*INDEX(Materials!$E:$E,MATCH(G288,Materials!$A:$A,0)))+IF(I288="",0,J288*INDEX(Materials!$E:$E,MATCH(I288,Materials!$A:$A,0)))+IF(K288="",0,L288*INDEX(Materials!$E:$E,MATCH(K288,Materials!$A:$A,0)))</f>
        <v>154.64</v>
      </c>
      <c r="N288" s="23" t="n">
        <v>0</v>
      </c>
      <c r="O288" s="19"/>
      <c r="P288" s="21"/>
      <c r="Q288" s="22" t="n">
        <f aca="false">IF(O288="",0,P288*INDEX(Plant!$D:$D,MATCH(O288,Plant!$A:$A,0)))</f>
        <v>0</v>
      </c>
      <c r="R288" s="24" t="n">
        <f aca="false">F288+M288+N288+Q288</f>
        <v>201.921575</v>
      </c>
      <c r="S288" s="22" t="n">
        <f aca="false">R288*Settings!$B$4*Settings!$B$9</f>
        <v>201.921575</v>
      </c>
      <c r="T288" s="24" t="n">
        <f aca="false">S288*(1+Settings!$B$10)</f>
        <v>236.24824275</v>
      </c>
    </row>
    <row r="289" customFormat="false" ht="15" hidden="false" customHeight="false" outlineLevel="0" collapsed="false">
      <c r="A289" s="19" t="s">
        <v>859</v>
      </c>
      <c r="B289" s="20" t="s">
        <v>860</v>
      </c>
      <c r="C289" s="19" t="s">
        <v>256</v>
      </c>
      <c r="D289" s="19" t="s">
        <v>851</v>
      </c>
      <c r="E289" s="21" t="n">
        <v>0.2</v>
      </c>
      <c r="F289" s="22" t="n">
        <f aca="false">IF(D289="",0,E289*INDEX(Gangs!$D:$D,MATCH(D289,Gangs!$A:$A,0)))</f>
        <v>37.82526</v>
      </c>
      <c r="G289" s="19" t="s">
        <v>861</v>
      </c>
      <c r="H289" s="21" t="n">
        <v>1.02</v>
      </c>
      <c r="I289" s="19" t="s">
        <v>207</v>
      </c>
      <c r="J289" s="21" t="n">
        <v>0.03</v>
      </c>
      <c r="K289" s="19"/>
      <c r="L289" s="21"/>
      <c r="M289" s="22" t="n">
        <f aca="false">IF(G289="",0,H289*INDEX(Materials!$E:$E,MATCH(G289,Materials!$A:$A,0)))+IF(I289="",0,J289*INDEX(Materials!$E:$E,MATCH(I289,Materials!$A:$A,0)))+IF(K289="",0,L289*INDEX(Materials!$E:$E,MATCH(K289,Materials!$A:$A,0)))</f>
        <v>117</v>
      </c>
      <c r="N289" s="23" t="n">
        <v>0</v>
      </c>
      <c r="O289" s="19"/>
      <c r="P289" s="21"/>
      <c r="Q289" s="22" t="n">
        <f aca="false">IF(O289="",0,P289*INDEX(Plant!$D:$D,MATCH(O289,Plant!$A:$A,0)))</f>
        <v>0</v>
      </c>
      <c r="R289" s="24" t="n">
        <f aca="false">F289+M289+N289+Q289</f>
        <v>154.82526</v>
      </c>
      <c r="S289" s="22" t="n">
        <f aca="false">R289*Settings!$B$4*Settings!$B$9</f>
        <v>154.82526</v>
      </c>
      <c r="T289" s="24" t="n">
        <f aca="false">S289*(1+Settings!$B$10)</f>
        <v>181.1455542</v>
      </c>
    </row>
    <row r="290" customFormat="false" ht="15" hidden="false" customHeight="false" outlineLevel="0" collapsed="false">
      <c r="A290" s="19" t="s">
        <v>862</v>
      </c>
      <c r="B290" s="20" t="s">
        <v>863</v>
      </c>
      <c r="C290" s="19" t="s">
        <v>108</v>
      </c>
      <c r="D290" s="19" t="s">
        <v>206</v>
      </c>
      <c r="E290" s="21" t="n">
        <v>0.25</v>
      </c>
      <c r="F290" s="22" t="n">
        <f aca="false">IF(D290="",0,E290*INDEX(Gangs!$D:$D,MATCH(D290,Gangs!$A:$A,0)))</f>
        <v>72.069225</v>
      </c>
      <c r="G290" s="19" t="s">
        <v>210</v>
      </c>
      <c r="H290" s="21" t="n">
        <v>0.105</v>
      </c>
      <c r="I290" s="19" t="s">
        <v>270</v>
      </c>
      <c r="J290" s="21" t="n">
        <v>1.15</v>
      </c>
      <c r="K290" s="19"/>
      <c r="L290" s="21"/>
      <c r="M290" s="22" t="n">
        <f aca="false">IF(G290="",0,H290*INDEX(Materials!$E:$E,MATCH(G290,Materials!$A:$A,0)))+IF(I290="",0,J290*INDEX(Materials!$E:$E,MATCH(I290,Materials!$A:$A,0)))+IF(K290="",0,L290*INDEX(Materials!$E:$E,MATCH(K290,Materials!$A:$A,0)))</f>
        <v>237.25</v>
      </c>
      <c r="N290" s="23" t="n">
        <v>10</v>
      </c>
      <c r="O290" s="19"/>
      <c r="P290" s="21"/>
      <c r="Q290" s="22" t="n">
        <f aca="false">IF(O290="",0,P290*INDEX(Plant!$D:$D,MATCH(O290,Plant!$A:$A,0)))</f>
        <v>0</v>
      </c>
      <c r="R290" s="24" t="n">
        <f aca="false">F290+M290+N290+Q290</f>
        <v>319.319225</v>
      </c>
      <c r="S290" s="22" t="n">
        <f aca="false">R290*Settings!$B$4*Settings!$B$9</f>
        <v>319.319225</v>
      </c>
      <c r="T290" s="24" t="n">
        <f aca="false">S290*(1+Settings!$B$10)</f>
        <v>373.60349325</v>
      </c>
    </row>
    <row r="291" customFormat="false" ht="15" hidden="false" customHeight="false" outlineLevel="0" collapsed="false">
      <c r="A291" s="19" t="s">
        <v>864</v>
      </c>
      <c r="B291" s="20" t="s">
        <v>865</v>
      </c>
      <c r="C291" s="19" t="s">
        <v>108</v>
      </c>
      <c r="D291" s="19" t="s">
        <v>851</v>
      </c>
      <c r="E291" s="21" t="n">
        <v>0.6</v>
      </c>
      <c r="F291" s="22" t="n">
        <f aca="false">IF(D291="",0,E291*INDEX(Gangs!$D:$D,MATCH(D291,Gangs!$A:$A,0)))</f>
        <v>113.47578</v>
      </c>
      <c r="G291" s="19" t="s">
        <v>866</v>
      </c>
      <c r="H291" s="21" t="n">
        <v>1.05</v>
      </c>
      <c r="I291" s="19" t="s">
        <v>625</v>
      </c>
      <c r="J291" s="21" t="n">
        <v>0.03</v>
      </c>
      <c r="K291" s="19" t="s">
        <v>191</v>
      </c>
      <c r="L291" s="21" t="n">
        <v>0.12</v>
      </c>
      <c r="M291" s="22" t="n">
        <f aca="false">IF(G291="",0,H291*INDEX(Materials!$E:$E,MATCH(G291,Materials!$A:$A,0)))+IF(I291="",0,J291*INDEX(Materials!$E:$E,MATCH(I291,Materials!$A:$A,0)))+IF(K291="",0,L291*INDEX(Materials!$E:$E,MATCH(K291,Materials!$A:$A,0)))</f>
        <v>375.9</v>
      </c>
      <c r="N291" s="23" t="n">
        <v>0</v>
      </c>
      <c r="O291" s="19"/>
      <c r="P291" s="21"/>
      <c r="Q291" s="22" t="n">
        <f aca="false">IF(O291="",0,P291*INDEX(Plant!$D:$D,MATCH(O291,Plant!$A:$A,0)))</f>
        <v>0</v>
      </c>
      <c r="R291" s="24" t="n">
        <f aca="false">F291+M291+N291+Q291</f>
        <v>489.37578</v>
      </c>
      <c r="S291" s="22" t="n">
        <f aca="false">R291*Settings!$B$4*Settings!$B$9</f>
        <v>489.37578</v>
      </c>
      <c r="T291" s="24" t="n">
        <f aca="false">S291*(1+Settings!$B$10)</f>
        <v>572.5696626</v>
      </c>
    </row>
    <row r="292" customFormat="false" ht="15" hidden="false" customHeight="false" outlineLevel="0" collapsed="false">
      <c r="A292" s="19" t="s">
        <v>867</v>
      </c>
      <c r="B292" s="20" t="s">
        <v>868</v>
      </c>
      <c r="C292" s="19" t="s">
        <v>108</v>
      </c>
      <c r="D292" s="19"/>
      <c r="E292" s="21"/>
      <c r="F292" s="22" t="n">
        <f aca="false">IF(D292="",0,E292*INDEX(Gangs!$D:$D,MATCH(D292,Gangs!$A:$A,0)))</f>
        <v>0</v>
      </c>
      <c r="G292" s="19" t="s">
        <v>869</v>
      </c>
      <c r="H292" s="21" t="n">
        <v>1</v>
      </c>
      <c r="I292" s="19"/>
      <c r="J292" s="21"/>
      <c r="K292" s="19"/>
      <c r="L292" s="21"/>
      <c r="M292" s="22" t="n">
        <f aca="false">IF(G292="",0,H292*INDEX(Materials!$E:$E,MATCH(G292,Materials!$A:$A,0)))+IF(I292="",0,J292*INDEX(Materials!$E:$E,MATCH(I292,Materials!$A:$A,0)))+IF(K292="",0,L292*INDEX(Materials!$E:$E,MATCH(K292,Materials!$A:$A,0)))</f>
        <v>420</v>
      </c>
      <c r="N292" s="23" t="n">
        <v>0</v>
      </c>
      <c r="O292" s="19"/>
      <c r="P292" s="21"/>
      <c r="Q292" s="22" t="n">
        <f aca="false">IF(O292="",0,P292*INDEX(Plant!$D:$D,MATCH(O292,Plant!$A:$A,0)))</f>
        <v>0</v>
      </c>
      <c r="R292" s="24" t="n">
        <f aca="false">F292+M292+N292+Q292</f>
        <v>420</v>
      </c>
      <c r="S292" s="22" t="n">
        <f aca="false">R292*Settings!$B$4*Settings!$B$9</f>
        <v>420</v>
      </c>
      <c r="T292" s="24" t="n">
        <f aca="false">S292*(1+Settings!$B$10)</f>
        <v>491.4</v>
      </c>
    </row>
    <row r="293" customFormat="false" ht="15" hidden="false" customHeight="false" outlineLevel="0" collapsed="false">
      <c r="A293" s="19" t="s">
        <v>870</v>
      </c>
      <c r="B293" s="20" t="s">
        <v>871</v>
      </c>
      <c r="C293" s="19" t="s">
        <v>256</v>
      </c>
      <c r="D293" s="19"/>
      <c r="E293" s="21"/>
      <c r="F293" s="22" t="n">
        <f aca="false">IF(D293="",0,E293*INDEX(Gangs!$D:$D,MATCH(D293,Gangs!$A:$A,0)))</f>
        <v>0</v>
      </c>
      <c r="G293" s="19" t="s">
        <v>872</v>
      </c>
      <c r="H293" s="21" t="n">
        <v>1</v>
      </c>
      <c r="I293" s="19"/>
      <c r="J293" s="21"/>
      <c r="K293" s="19"/>
      <c r="L293" s="21"/>
      <c r="M293" s="22" t="n">
        <f aca="false">IF(G293="",0,H293*INDEX(Materials!$E:$E,MATCH(G293,Materials!$A:$A,0)))+IF(I293="",0,J293*INDEX(Materials!$E:$E,MATCH(I293,Materials!$A:$A,0)))+IF(K293="",0,L293*INDEX(Materials!$E:$E,MATCH(K293,Materials!$A:$A,0)))</f>
        <v>1150</v>
      </c>
      <c r="N293" s="23" t="n">
        <v>0</v>
      </c>
      <c r="O293" s="19"/>
      <c r="P293" s="21"/>
      <c r="Q293" s="22" t="n">
        <f aca="false">IF(O293="",0,P293*INDEX(Plant!$D:$D,MATCH(O293,Plant!$A:$A,0)))</f>
        <v>0</v>
      </c>
      <c r="R293" s="24" t="n">
        <f aca="false">F293+M293+N293+Q293</f>
        <v>1150</v>
      </c>
      <c r="S293" s="22" t="n">
        <f aca="false">R293*Settings!$B$4*Settings!$B$9</f>
        <v>1150</v>
      </c>
      <c r="T293" s="24" t="n">
        <f aca="false">S293*(1+Settings!$B$10)</f>
        <v>1345.5</v>
      </c>
    </row>
    <row r="294" customFormat="false" ht="15" hidden="false" customHeight="false" outlineLevel="0" collapsed="false">
      <c r="A294" s="19" t="s">
        <v>873</v>
      </c>
      <c r="B294" s="20" t="s">
        <v>874</v>
      </c>
      <c r="C294" s="19" t="s">
        <v>256</v>
      </c>
      <c r="D294" s="19"/>
      <c r="E294" s="21"/>
      <c r="F294" s="22" t="n">
        <f aca="false">IF(D294="",0,E294*INDEX(Gangs!$D:$D,MATCH(D294,Gangs!$A:$A,0)))</f>
        <v>0</v>
      </c>
      <c r="G294" s="19" t="s">
        <v>875</v>
      </c>
      <c r="H294" s="21" t="n">
        <v>1</v>
      </c>
      <c r="I294" s="19"/>
      <c r="J294" s="21"/>
      <c r="K294" s="19"/>
      <c r="L294" s="21"/>
      <c r="M294" s="22" t="n">
        <f aca="false">IF(G294="",0,H294*INDEX(Materials!$E:$E,MATCH(G294,Materials!$A:$A,0)))+IF(I294="",0,J294*INDEX(Materials!$E:$E,MATCH(I294,Materials!$A:$A,0)))+IF(K294="",0,L294*INDEX(Materials!$E:$E,MATCH(K294,Materials!$A:$A,0)))</f>
        <v>1650</v>
      </c>
      <c r="N294" s="23" t="n">
        <v>0</v>
      </c>
      <c r="O294" s="19"/>
      <c r="P294" s="21"/>
      <c r="Q294" s="22" t="n">
        <f aca="false">IF(O294="",0,P294*INDEX(Plant!$D:$D,MATCH(O294,Plant!$A:$A,0)))</f>
        <v>0</v>
      </c>
      <c r="R294" s="24" t="n">
        <f aca="false">F294+M294+N294+Q294</f>
        <v>1650</v>
      </c>
      <c r="S294" s="22" t="n">
        <f aca="false">R294*Settings!$B$4*Settings!$B$9</f>
        <v>1650</v>
      </c>
      <c r="T294" s="24" t="n">
        <f aca="false">S294*(1+Settings!$B$10)</f>
        <v>1930.5</v>
      </c>
    </row>
    <row r="295" customFormat="false" ht="15" hidden="false" customHeight="false" outlineLevel="0" collapsed="false">
      <c r="A295" s="19" t="s">
        <v>876</v>
      </c>
      <c r="B295" s="20" t="s">
        <v>877</v>
      </c>
      <c r="C295" s="19" t="s">
        <v>256</v>
      </c>
      <c r="D295" s="19" t="s">
        <v>75</v>
      </c>
      <c r="E295" s="21" t="n">
        <v>0.8</v>
      </c>
      <c r="F295" s="22" t="n">
        <f aca="false">IF(D295="",0,E295*INDEX(Gangs!$D:$D,MATCH(D295,Gangs!$A:$A,0)))</f>
        <v>42.48724</v>
      </c>
      <c r="G295" s="19" t="s">
        <v>878</v>
      </c>
      <c r="H295" s="21" t="n">
        <v>1</v>
      </c>
      <c r="I295" s="19" t="s">
        <v>207</v>
      </c>
      <c r="J295" s="21" t="n">
        <v>0.02</v>
      </c>
      <c r="K295" s="19"/>
      <c r="L295" s="21"/>
      <c r="M295" s="22" t="n">
        <f aca="false">IF(G295="",0,H295*INDEX(Materials!$E:$E,MATCH(G295,Materials!$A:$A,0)))+IF(I295="",0,J295*INDEX(Materials!$E:$E,MATCH(I295,Materials!$A:$A,0)))+IF(K295="",0,L295*INDEX(Materials!$E:$E,MATCH(K295,Materials!$A:$A,0)))</f>
        <v>150.4</v>
      </c>
      <c r="N295" s="23" t="n">
        <v>0</v>
      </c>
      <c r="O295" s="19"/>
      <c r="P295" s="21"/>
      <c r="Q295" s="22" t="n">
        <f aca="false">IF(O295="",0,P295*INDEX(Plant!$D:$D,MATCH(O295,Plant!$A:$A,0)))</f>
        <v>0</v>
      </c>
      <c r="R295" s="24" t="n">
        <f aca="false">F295+M295+N295+Q295</f>
        <v>192.88724</v>
      </c>
      <c r="S295" s="22" t="n">
        <f aca="false">R295*Settings!$B$4*Settings!$B$9</f>
        <v>192.88724</v>
      </c>
      <c r="T295" s="24" t="n">
        <f aca="false">S295*(1+Settings!$B$10)</f>
        <v>225.6780708</v>
      </c>
    </row>
    <row r="296" customFormat="false" ht="15" hidden="false" customHeight="false" outlineLevel="0" collapsed="false">
      <c r="A296" s="19" t="s">
        <v>879</v>
      </c>
      <c r="B296" s="20" t="s">
        <v>880</v>
      </c>
      <c r="C296" s="19" t="s">
        <v>96</v>
      </c>
      <c r="D296" s="19"/>
      <c r="E296" s="21"/>
      <c r="F296" s="22" t="n">
        <f aca="false">IF(D296="",0,E296*INDEX(Gangs!$D:$D,MATCH(D296,Gangs!$A:$A,0)))</f>
        <v>0</v>
      </c>
      <c r="G296" s="19" t="s">
        <v>881</v>
      </c>
      <c r="H296" s="21" t="n">
        <v>1</v>
      </c>
      <c r="I296" s="19"/>
      <c r="J296" s="21"/>
      <c r="K296" s="19"/>
      <c r="L296" s="21"/>
      <c r="M296" s="22" t="n">
        <f aca="false">IF(G296="",0,H296*INDEX(Materials!$E:$E,MATCH(G296,Materials!$A:$A,0)))+IF(I296="",0,J296*INDEX(Materials!$E:$E,MATCH(I296,Materials!$A:$A,0)))+IF(K296="",0,L296*INDEX(Materials!$E:$E,MATCH(K296,Materials!$A:$A,0)))</f>
        <v>28000</v>
      </c>
      <c r="N296" s="23" t="n">
        <v>0</v>
      </c>
      <c r="O296" s="19"/>
      <c r="P296" s="21"/>
      <c r="Q296" s="22" t="n">
        <f aca="false">IF(O296="",0,P296*INDEX(Plant!$D:$D,MATCH(O296,Plant!$A:$A,0)))</f>
        <v>0</v>
      </c>
      <c r="R296" s="24" t="n">
        <f aca="false">F296+M296+N296+Q296</f>
        <v>28000</v>
      </c>
      <c r="S296" s="22" t="n">
        <f aca="false">R296*Settings!$B$4*Settings!$B$9</f>
        <v>28000</v>
      </c>
      <c r="T296" s="24" t="n">
        <f aca="false">S296*(1+Settings!$B$10)</f>
        <v>32760</v>
      </c>
    </row>
    <row r="297" customFormat="false" ht="15" hidden="false" customHeight="false" outlineLevel="0" collapsed="false">
      <c r="A297" s="19" t="s">
        <v>882</v>
      </c>
      <c r="B297" s="20" t="s">
        <v>883</v>
      </c>
      <c r="C297" s="19" t="s">
        <v>96</v>
      </c>
      <c r="D297" s="19" t="s">
        <v>393</v>
      </c>
      <c r="E297" s="21" t="n">
        <v>3</v>
      </c>
      <c r="F297" s="22" t="n">
        <f aca="false">IF(D297="",0,E297*INDEX(Gangs!$D:$D,MATCH(D297,Gangs!$A:$A,0)))</f>
        <v>818.37795</v>
      </c>
      <c r="G297" s="19" t="s">
        <v>884</v>
      </c>
      <c r="H297" s="21" t="n">
        <v>1</v>
      </c>
      <c r="I297" s="19"/>
      <c r="J297" s="21"/>
      <c r="K297" s="19"/>
      <c r="L297" s="21"/>
      <c r="M297" s="22" t="n">
        <f aca="false">IF(G297="",0,H297*INDEX(Materials!$E:$E,MATCH(G297,Materials!$A:$A,0)))+IF(I297="",0,J297*INDEX(Materials!$E:$E,MATCH(I297,Materials!$A:$A,0)))+IF(K297="",0,L297*INDEX(Materials!$E:$E,MATCH(K297,Materials!$A:$A,0)))</f>
        <v>3200</v>
      </c>
      <c r="N297" s="23" t="n">
        <v>0</v>
      </c>
      <c r="O297" s="19"/>
      <c r="P297" s="21"/>
      <c r="Q297" s="22" t="n">
        <f aca="false">IF(O297="",0,P297*INDEX(Plant!$D:$D,MATCH(O297,Plant!$A:$A,0)))</f>
        <v>0</v>
      </c>
      <c r="R297" s="24" t="n">
        <f aca="false">F297+M297+N297+Q297</f>
        <v>4018.37795</v>
      </c>
      <c r="S297" s="22" t="n">
        <f aca="false">R297*Settings!$B$4*Settings!$B$9</f>
        <v>4018.37795</v>
      </c>
      <c r="T297" s="24" t="n">
        <f aca="false">S297*(1+Settings!$B$10)</f>
        <v>4701.5022015</v>
      </c>
    </row>
    <row r="298" customFormat="false" ht="15" hidden="false" customHeight="false" outlineLevel="0" collapsed="false">
      <c r="A298" s="19" t="s">
        <v>885</v>
      </c>
      <c r="B298" s="20" t="s">
        <v>886</v>
      </c>
      <c r="C298" s="19" t="s">
        <v>108</v>
      </c>
      <c r="D298" s="19" t="s">
        <v>75</v>
      </c>
      <c r="E298" s="21" t="n">
        <v>0.15</v>
      </c>
      <c r="F298" s="22" t="n">
        <f aca="false">IF(D298="",0,E298*INDEX(Gangs!$D:$D,MATCH(D298,Gangs!$A:$A,0)))</f>
        <v>7.9663575</v>
      </c>
      <c r="G298" s="19" t="s">
        <v>887</v>
      </c>
      <c r="H298" s="21" t="n">
        <v>1.05</v>
      </c>
      <c r="I298" s="19"/>
      <c r="J298" s="21"/>
      <c r="K298" s="19"/>
      <c r="L298" s="21"/>
      <c r="M298" s="22" t="n">
        <f aca="false">IF(G298="",0,H298*INDEX(Materials!$E:$E,MATCH(G298,Materials!$A:$A,0)))+IF(I298="",0,J298*INDEX(Materials!$E:$E,MATCH(I298,Materials!$A:$A,0)))+IF(K298="",0,L298*INDEX(Materials!$E:$E,MATCH(K298,Materials!$A:$A,0)))</f>
        <v>57.75</v>
      </c>
      <c r="N298" s="23" t="n">
        <v>15</v>
      </c>
      <c r="O298" s="19"/>
      <c r="P298" s="21"/>
      <c r="Q298" s="22" t="n">
        <f aca="false">IF(O298="",0,P298*INDEX(Plant!$D:$D,MATCH(O298,Plant!$A:$A,0)))</f>
        <v>0</v>
      </c>
      <c r="R298" s="24" t="n">
        <f aca="false">F298+M298+N298+Q298</f>
        <v>80.7163575</v>
      </c>
      <c r="S298" s="22" t="n">
        <f aca="false">R298*Settings!$B$4*Settings!$B$9</f>
        <v>80.7163575</v>
      </c>
      <c r="T298" s="24" t="n">
        <f aca="false">S298*(1+Settings!$B$10)</f>
        <v>94.438138275</v>
      </c>
    </row>
    <row r="299" customFormat="false" ht="15" hidden="false" customHeight="false" outlineLevel="0" collapsed="false">
      <c r="A299" s="19" t="s">
        <v>888</v>
      </c>
      <c r="B299" s="20" t="s">
        <v>889</v>
      </c>
      <c r="C299" s="19" t="s">
        <v>96</v>
      </c>
      <c r="D299" s="19" t="s">
        <v>75</v>
      </c>
      <c r="E299" s="21" t="n">
        <v>0.3</v>
      </c>
      <c r="F299" s="22" t="n">
        <f aca="false">IF(D299="",0,E299*INDEX(Gangs!$D:$D,MATCH(D299,Gangs!$A:$A,0)))</f>
        <v>15.932715</v>
      </c>
      <c r="G299" s="19"/>
      <c r="H299" s="21"/>
      <c r="I299" s="19"/>
      <c r="J299" s="21"/>
      <c r="K299" s="19"/>
      <c r="L299" s="21"/>
      <c r="M299" s="22" t="n">
        <f aca="false">IF(G299="",0,H299*INDEX(Materials!$E:$E,MATCH(G299,Materials!$A:$A,0)))+IF(I299="",0,J299*INDEX(Materials!$E:$E,MATCH(I299,Materials!$A:$A,0)))+IF(K299="",0,L299*INDEX(Materials!$E:$E,MATCH(K299,Materials!$A:$A,0)))</f>
        <v>0</v>
      </c>
      <c r="N299" s="23" t="n">
        <v>85</v>
      </c>
      <c r="O299" s="19"/>
      <c r="P299" s="21"/>
      <c r="Q299" s="22" t="n">
        <f aca="false">IF(O299="",0,P299*INDEX(Plant!$D:$D,MATCH(O299,Plant!$A:$A,0)))</f>
        <v>0</v>
      </c>
      <c r="R299" s="24" t="n">
        <f aca="false">F299+M299+N299+Q299</f>
        <v>100.932715</v>
      </c>
      <c r="S299" s="22" t="n">
        <f aca="false">R299*Settings!$B$4*Settings!$B$9</f>
        <v>100.932715</v>
      </c>
      <c r="T299" s="24" t="n">
        <f aca="false">S299*(1+Settings!$B$10)</f>
        <v>118.09127655</v>
      </c>
    </row>
    <row r="300" customFormat="false" ht="15" hidden="false" customHeight="false" outlineLevel="0" collapsed="false">
      <c r="A300" s="19" t="s">
        <v>890</v>
      </c>
      <c r="B300" s="20" t="s">
        <v>891</v>
      </c>
      <c r="C300" s="19" t="s">
        <v>256</v>
      </c>
      <c r="D300" s="19" t="s">
        <v>206</v>
      </c>
      <c r="E300" s="21" t="n">
        <v>0.3</v>
      </c>
      <c r="F300" s="22" t="n">
        <f aca="false">IF(D300="",0,E300*INDEX(Gangs!$D:$D,MATCH(D300,Gangs!$A:$A,0)))</f>
        <v>86.48307</v>
      </c>
      <c r="G300" s="19" t="s">
        <v>210</v>
      </c>
      <c r="H300" s="21" t="n">
        <v>0.06</v>
      </c>
      <c r="I300" s="19" t="s">
        <v>246</v>
      </c>
      <c r="J300" s="21" t="n">
        <v>0.2</v>
      </c>
      <c r="K300" s="19"/>
      <c r="L300" s="21"/>
      <c r="M300" s="22" t="n">
        <f aca="false">IF(G300="",0,H300*INDEX(Materials!$E:$E,MATCH(G300,Materials!$A:$A,0)))+IF(I300="",0,J300*INDEX(Materials!$E:$E,MATCH(I300,Materials!$A:$A,0)))+IF(K300="",0,L300*INDEX(Materials!$E:$E,MATCH(K300,Materials!$A:$A,0)))</f>
        <v>119</v>
      </c>
      <c r="N300" s="23" t="n">
        <v>0</v>
      </c>
      <c r="O300" s="19"/>
      <c r="P300" s="21"/>
      <c r="Q300" s="22" t="n">
        <f aca="false">IF(O300="",0,P300*INDEX(Plant!$D:$D,MATCH(O300,Plant!$A:$A,0)))</f>
        <v>0</v>
      </c>
      <c r="R300" s="24" t="n">
        <f aca="false">F300+M300+N300+Q300</f>
        <v>205.48307</v>
      </c>
      <c r="S300" s="22" t="n">
        <f aca="false">R300*Settings!$B$4*Settings!$B$9</f>
        <v>205.48307</v>
      </c>
      <c r="T300" s="24" t="n">
        <f aca="false">S300*(1+Settings!$B$10)</f>
        <v>240.4151919</v>
      </c>
    </row>
    <row r="301" customFormat="false" ht="15" hidden="false" customHeight="false" outlineLevel="0" collapsed="false">
      <c r="A301" s="19" t="s">
        <v>892</v>
      </c>
      <c r="B301" s="20" t="s">
        <v>893</v>
      </c>
      <c r="C301" s="19" t="s">
        <v>108</v>
      </c>
      <c r="D301" s="19" t="s">
        <v>851</v>
      </c>
      <c r="E301" s="21" t="n">
        <v>1.2</v>
      </c>
      <c r="F301" s="22" t="n">
        <f aca="false">IF(D301="",0,E301*INDEX(Gangs!$D:$D,MATCH(D301,Gangs!$A:$A,0)))</f>
        <v>226.95156</v>
      </c>
      <c r="G301" s="19" t="s">
        <v>894</v>
      </c>
      <c r="H301" s="21" t="n">
        <v>1</v>
      </c>
      <c r="I301" s="19" t="s">
        <v>191</v>
      </c>
      <c r="J301" s="21" t="n">
        <v>0.3</v>
      </c>
      <c r="K301" s="19"/>
      <c r="L301" s="21"/>
      <c r="M301" s="22" t="n">
        <f aca="false">IF(G301="",0,H301*INDEX(Materials!$E:$E,MATCH(G301,Materials!$A:$A,0)))+IF(I301="",0,J301*INDEX(Materials!$E:$E,MATCH(I301,Materials!$A:$A,0)))+IF(K301="",0,L301*INDEX(Materials!$E:$E,MATCH(K301,Materials!$A:$A,0)))</f>
        <v>380</v>
      </c>
      <c r="N301" s="23" t="n">
        <v>30</v>
      </c>
      <c r="O301" s="19"/>
      <c r="P301" s="21"/>
      <c r="Q301" s="22" t="n">
        <f aca="false">IF(O301="",0,P301*INDEX(Plant!$D:$D,MATCH(O301,Plant!$A:$A,0)))</f>
        <v>0</v>
      </c>
      <c r="R301" s="24" t="n">
        <f aca="false">F301+M301+N301+Q301</f>
        <v>636.95156</v>
      </c>
      <c r="S301" s="22" t="n">
        <f aca="false">R301*Settings!$B$4*Settings!$B$9</f>
        <v>636.95156</v>
      </c>
      <c r="T301" s="24" t="n">
        <f aca="false">S301*(1+Settings!$B$10)</f>
        <v>745.2333252</v>
      </c>
    </row>
    <row r="302" customFormat="false" ht="15" hidden="false" customHeight="false" outlineLevel="0" collapsed="false">
      <c r="A302" s="17" t="s">
        <v>895</v>
      </c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</row>
    <row r="303" customFormat="false" ht="15" hidden="false" customHeight="false" outlineLevel="0" collapsed="false">
      <c r="A303" s="19" t="s">
        <v>896</v>
      </c>
      <c r="B303" s="20" t="s">
        <v>897</v>
      </c>
      <c r="C303" s="19" t="s">
        <v>96</v>
      </c>
      <c r="D303" s="19" t="s">
        <v>898</v>
      </c>
      <c r="E303" s="21" t="n">
        <v>0.3</v>
      </c>
      <c r="F303" s="22" t="n">
        <f aca="false">IF(D303="",0,E303*INDEX(Gangs!$D:$D,MATCH(D303,Gangs!$A:$A,0)))</f>
        <v>20.712915</v>
      </c>
      <c r="G303" s="19" t="s">
        <v>899</v>
      </c>
      <c r="H303" s="21" t="n">
        <v>1</v>
      </c>
      <c r="I303" s="19"/>
      <c r="J303" s="21"/>
      <c r="K303" s="19"/>
      <c r="L303" s="21"/>
      <c r="M303" s="22" t="n">
        <f aca="false">IF(G303="",0,H303*INDEX(Materials!$E:$E,MATCH(G303,Materials!$A:$A,0)))+IF(I303="",0,J303*INDEX(Materials!$E:$E,MATCH(I303,Materials!$A:$A,0)))+IF(K303="",0,L303*INDEX(Materials!$E:$E,MATCH(K303,Materials!$A:$A,0)))</f>
        <v>650</v>
      </c>
      <c r="N303" s="23" t="n">
        <v>0</v>
      </c>
      <c r="O303" s="19"/>
      <c r="P303" s="21"/>
      <c r="Q303" s="22" t="n">
        <f aca="false">IF(O303="",0,P303*INDEX(Plant!$D:$D,MATCH(O303,Plant!$A:$A,0)))</f>
        <v>0</v>
      </c>
      <c r="R303" s="24" t="n">
        <f aca="false">F303+M303+N303+Q303</f>
        <v>670.712915</v>
      </c>
      <c r="S303" s="22" t="n">
        <f aca="false">R303*Settings!$B$4*Settings!$B$9</f>
        <v>670.712915</v>
      </c>
      <c r="T303" s="24" t="n">
        <f aca="false">S303*(1+Settings!$B$10)</f>
        <v>784.73411055</v>
      </c>
    </row>
    <row r="304" customFormat="false" ht="15" hidden="false" customHeight="false" outlineLevel="0" collapsed="false">
      <c r="A304" s="19" t="s">
        <v>900</v>
      </c>
      <c r="B304" s="20" t="s">
        <v>901</v>
      </c>
      <c r="C304" s="19" t="s">
        <v>96</v>
      </c>
      <c r="D304" s="19" t="s">
        <v>151</v>
      </c>
      <c r="E304" s="21" t="n">
        <v>4</v>
      </c>
      <c r="F304" s="22" t="n">
        <f aca="false">IF(D304="",0,E304*INDEX(Gangs!$D:$D,MATCH(D304,Gangs!$A:$A,0)))</f>
        <v>906.3362</v>
      </c>
      <c r="G304" s="19" t="s">
        <v>902</v>
      </c>
      <c r="H304" s="21" t="n">
        <v>1</v>
      </c>
      <c r="I304" s="19"/>
      <c r="J304" s="21"/>
      <c r="K304" s="19"/>
      <c r="L304" s="21"/>
      <c r="M304" s="22" t="n">
        <f aca="false">IF(G304="",0,H304*INDEX(Materials!$E:$E,MATCH(G304,Materials!$A:$A,0)))+IF(I304="",0,J304*INDEX(Materials!$E:$E,MATCH(I304,Materials!$A:$A,0)))+IF(K304="",0,L304*INDEX(Materials!$E:$E,MATCH(K304,Materials!$A:$A,0)))</f>
        <v>3800</v>
      </c>
      <c r="N304" s="23" t="n">
        <v>0</v>
      </c>
      <c r="O304" s="19"/>
      <c r="P304" s="21"/>
      <c r="Q304" s="22" t="n">
        <f aca="false">IF(O304="",0,P304*INDEX(Plant!$D:$D,MATCH(O304,Plant!$A:$A,0)))</f>
        <v>0</v>
      </c>
      <c r="R304" s="24" t="n">
        <f aca="false">F304+M304+N304+Q304</f>
        <v>4706.3362</v>
      </c>
      <c r="S304" s="22" t="n">
        <f aca="false">R304*Settings!$B$4*Settings!$B$9</f>
        <v>4706.3362</v>
      </c>
      <c r="T304" s="24" t="n">
        <f aca="false">S304*(1+Settings!$B$10)</f>
        <v>5506.413354</v>
      </c>
    </row>
    <row r="305" customFormat="false" ht="15" hidden="false" customHeight="false" outlineLevel="0" collapsed="false">
      <c r="A305" s="19" t="s">
        <v>903</v>
      </c>
      <c r="B305" s="20" t="s">
        <v>904</v>
      </c>
      <c r="C305" s="19" t="s">
        <v>96</v>
      </c>
      <c r="D305" s="19" t="s">
        <v>715</v>
      </c>
      <c r="E305" s="21" t="n">
        <v>0.5</v>
      </c>
      <c r="F305" s="22" t="n">
        <f aca="false">IF(D305="",0,E305*INDEX(Gangs!$D:$D,MATCH(D305,Gangs!$A:$A,0)))</f>
        <v>124.471525</v>
      </c>
      <c r="G305" s="19" t="s">
        <v>905</v>
      </c>
      <c r="H305" s="21" t="n">
        <v>1</v>
      </c>
      <c r="I305" s="19"/>
      <c r="J305" s="21"/>
      <c r="K305" s="19"/>
      <c r="L305" s="21"/>
      <c r="M305" s="22" t="n">
        <f aca="false">IF(G305="",0,H305*INDEX(Materials!$E:$E,MATCH(G305,Materials!$A:$A,0)))+IF(I305="",0,J305*INDEX(Materials!$E:$E,MATCH(I305,Materials!$A:$A,0)))+IF(K305="",0,L305*INDEX(Materials!$E:$E,MATCH(K305,Materials!$A:$A,0)))</f>
        <v>850</v>
      </c>
      <c r="N305" s="23" t="n">
        <v>0</v>
      </c>
      <c r="O305" s="19"/>
      <c r="P305" s="21"/>
      <c r="Q305" s="22" t="n">
        <f aca="false">IF(O305="",0,P305*INDEX(Plant!$D:$D,MATCH(O305,Plant!$A:$A,0)))</f>
        <v>0</v>
      </c>
      <c r="R305" s="24" t="n">
        <f aca="false">F305+M305+N305+Q305</f>
        <v>974.471525</v>
      </c>
      <c r="S305" s="22" t="n">
        <f aca="false">R305*Settings!$B$4*Settings!$B$9</f>
        <v>974.471525</v>
      </c>
      <c r="T305" s="24" t="n">
        <f aca="false">S305*(1+Settings!$B$10)</f>
        <v>1140.13168425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6" t="s">
        <v>51</v>
      </c>
      <c r="B1" s="16" t="s">
        <v>906</v>
      </c>
      <c r="C1" s="16" t="s">
        <v>52</v>
      </c>
      <c r="D1" s="16" t="s">
        <v>53</v>
      </c>
      <c r="E1" s="16" t="s">
        <v>907</v>
      </c>
      <c r="F1" s="16" t="s">
        <v>908</v>
      </c>
      <c r="G1" s="16" t="s">
        <v>909</v>
      </c>
    </row>
    <row r="2" customFormat="false" ht="15" hidden="false" customHeight="false" outlineLevel="0" collapsed="false">
      <c r="A2" s="5" t="s">
        <v>910</v>
      </c>
      <c r="B2" s="5" t="s">
        <v>911</v>
      </c>
      <c r="C2" s="5" t="s">
        <v>912</v>
      </c>
      <c r="D2" s="5" t="s">
        <v>913</v>
      </c>
      <c r="E2" s="25" t="n">
        <v>98</v>
      </c>
      <c r="F2" s="5" t="s">
        <v>914</v>
      </c>
      <c r="G2" s="26" t="s">
        <v>915</v>
      </c>
    </row>
    <row r="3" customFormat="false" ht="15" hidden="false" customHeight="false" outlineLevel="0" collapsed="false">
      <c r="A3" s="5" t="s">
        <v>916</v>
      </c>
      <c r="B3" s="5" t="s">
        <v>911</v>
      </c>
      <c r="C3" s="5" t="s">
        <v>917</v>
      </c>
      <c r="D3" s="5" t="s">
        <v>913</v>
      </c>
      <c r="E3" s="25" t="n">
        <v>72</v>
      </c>
      <c r="F3" s="5" t="s">
        <v>918</v>
      </c>
      <c r="G3" s="26"/>
    </row>
    <row r="4" customFormat="false" ht="15" hidden="false" customHeight="false" outlineLevel="0" collapsed="false">
      <c r="A4" s="5" t="s">
        <v>919</v>
      </c>
      <c r="B4" s="5" t="s">
        <v>911</v>
      </c>
      <c r="C4" s="5" t="s">
        <v>920</v>
      </c>
      <c r="D4" s="5" t="s">
        <v>132</v>
      </c>
      <c r="E4" s="25" t="n">
        <v>420</v>
      </c>
      <c r="F4" s="5" t="s">
        <v>914</v>
      </c>
      <c r="G4" s="26" t="s">
        <v>921</v>
      </c>
    </row>
    <row r="5" customFormat="false" ht="15" hidden="false" customHeight="false" outlineLevel="0" collapsed="false">
      <c r="A5" s="5" t="s">
        <v>922</v>
      </c>
      <c r="B5" s="5" t="s">
        <v>911</v>
      </c>
      <c r="C5" s="5" t="s">
        <v>923</v>
      </c>
      <c r="D5" s="5" t="s">
        <v>132</v>
      </c>
      <c r="E5" s="25" t="n">
        <v>390</v>
      </c>
      <c r="F5" s="5" t="s">
        <v>914</v>
      </c>
      <c r="G5" s="26" t="s">
        <v>924</v>
      </c>
    </row>
    <row r="6" customFormat="false" ht="15" hidden="false" customHeight="false" outlineLevel="0" collapsed="false">
      <c r="A6" s="5" t="s">
        <v>625</v>
      </c>
      <c r="B6" s="5" t="s">
        <v>911</v>
      </c>
      <c r="C6" s="5" t="s">
        <v>925</v>
      </c>
      <c r="D6" s="5" t="s">
        <v>132</v>
      </c>
      <c r="E6" s="25" t="n">
        <v>480</v>
      </c>
      <c r="F6" s="5" t="s">
        <v>914</v>
      </c>
      <c r="G6" s="26" t="s">
        <v>926</v>
      </c>
    </row>
    <row r="7" customFormat="false" ht="15" hidden="false" customHeight="false" outlineLevel="0" collapsed="false">
      <c r="A7" s="5" t="s">
        <v>927</v>
      </c>
      <c r="B7" s="5" t="s">
        <v>911</v>
      </c>
      <c r="C7" s="5" t="s">
        <v>928</v>
      </c>
      <c r="D7" s="5" t="s">
        <v>132</v>
      </c>
      <c r="E7" s="25" t="n">
        <v>560</v>
      </c>
      <c r="F7" s="5" t="s">
        <v>914</v>
      </c>
      <c r="G7" s="26" t="s">
        <v>929</v>
      </c>
    </row>
    <row r="8" customFormat="false" ht="15" hidden="false" customHeight="false" outlineLevel="0" collapsed="false">
      <c r="A8" s="5" t="s">
        <v>191</v>
      </c>
      <c r="B8" s="5" t="s">
        <v>911</v>
      </c>
      <c r="C8" s="5" t="s">
        <v>930</v>
      </c>
      <c r="D8" s="5" t="s">
        <v>132</v>
      </c>
      <c r="E8" s="25" t="n">
        <v>300</v>
      </c>
      <c r="F8" s="5" t="s">
        <v>918</v>
      </c>
      <c r="G8" s="26"/>
    </row>
    <row r="9" customFormat="false" ht="15" hidden="false" customHeight="false" outlineLevel="0" collapsed="false">
      <c r="A9" s="5" t="s">
        <v>156</v>
      </c>
      <c r="B9" s="5" t="s">
        <v>931</v>
      </c>
      <c r="C9" s="5" t="s">
        <v>932</v>
      </c>
      <c r="D9" s="5" t="s">
        <v>132</v>
      </c>
      <c r="E9" s="27" t="n">
        <f aca="false">7*E2+1.1*E4</f>
        <v>1148</v>
      </c>
      <c r="F9" s="5" t="s">
        <v>933</v>
      </c>
      <c r="G9" s="26" t="s">
        <v>934</v>
      </c>
    </row>
    <row r="10" customFormat="false" ht="15" hidden="false" customHeight="false" outlineLevel="0" collapsed="false">
      <c r="A10" s="5" t="s">
        <v>605</v>
      </c>
      <c r="B10" s="5" t="s">
        <v>931</v>
      </c>
      <c r="C10" s="5" t="s">
        <v>935</v>
      </c>
      <c r="D10" s="5" t="s">
        <v>132</v>
      </c>
      <c r="E10" s="27" t="n">
        <f aca="false">6*E2+1.15*E5</f>
        <v>1036.5</v>
      </c>
      <c r="F10" s="5" t="s">
        <v>933</v>
      </c>
      <c r="G10" s="26" t="s">
        <v>934</v>
      </c>
    </row>
    <row r="11" customFormat="false" ht="15" hidden="false" customHeight="false" outlineLevel="0" collapsed="false">
      <c r="A11" s="5" t="s">
        <v>228</v>
      </c>
      <c r="B11" s="5" t="s">
        <v>931</v>
      </c>
      <c r="C11" s="5" t="s">
        <v>936</v>
      </c>
      <c r="D11" s="5" t="s">
        <v>132</v>
      </c>
      <c r="E11" s="27" t="n">
        <f aca="false">7*E2+0.65*E6+0.75*E7</f>
        <v>1418</v>
      </c>
      <c r="F11" s="5" t="s">
        <v>933</v>
      </c>
      <c r="G11" s="26" t="s">
        <v>937</v>
      </c>
    </row>
    <row r="12" customFormat="false" ht="15" hidden="false" customHeight="false" outlineLevel="0" collapsed="false">
      <c r="A12" s="5" t="s">
        <v>546</v>
      </c>
      <c r="B12" s="5" t="s">
        <v>931</v>
      </c>
      <c r="C12" s="5" t="s">
        <v>938</v>
      </c>
      <c r="D12" s="5" t="s">
        <v>132</v>
      </c>
      <c r="E12" s="27" t="n">
        <f aca="false">8*E2+1.1*E6</f>
        <v>1312</v>
      </c>
      <c r="F12" s="5" t="s">
        <v>933</v>
      </c>
      <c r="G12" s="26" t="s">
        <v>934</v>
      </c>
    </row>
    <row r="13" customFormat="false" ht="15" hidden="false" customHeight="false" outlineLevel="0" collapsed="false">
      <c r="A13" s="5" t="s">
        <v>207</v>
      </c>
      <c r="B13" s="5" t="s">
        <v>939</v>
      </c>
      <c r="C13" s="5" t="s">
        <v>940</v>
      </c>
      <c r="D13" s="5" t="s">
        <v>132</v>
      </c>
      <c r="E13" s="25" t="n">
        <v>1520</v>
      </c>
      <c r="F13" s="5" t="s">
        <v>918</v>
      </c>
      <c r="G13" s="26" t="s">
        <v>941</v>
      </c>
    </row>
    <row r="14" customFormat="false" ht="15" hidden="false" customHeight="false" outlineLevel="0" collapsed="false">
      <c r="A14" s="5" t="s">
        <v>942</v>
      </c>
      <c r="B14" s="5" t="s">
        <v>939</v>
      </c>
      <c r="C14" s="5" t="s">
        <v>943</v>
      </c>
      <c r="D14" s="5" t="s">
        <v>132</v>
      </c>
      <c r="E14" s="25" t="n">
        <v>1600</v>
      </c>
      <c r="F14" s="5" t="s">
        <v>918</v>
      </c>
      <c r="G14" s="26"/>
    </row>
    <row r="15" customFormat="false" ht="15" hidden="false" customHeight="false" outlineLevel="0" collapsed="false">
      <c r="A15" s="5" t="s">
        <v>210</v>
      </c>
      <c r="B15" s="5" t="s">
        <v>939</v>
      </c>
      <c r="C15" s="5" t="s">
        <v>944</v>
      </c>
      <c r="D15" s="5" t="s">
        <v>132</v>
      </c>
      <c r="E15" s="25" t="n">
        <v>1690</v>
      </c>
      <c r="F15" s="5" t="s">
        <v>918</v>
      </c>
      <c r="G15" s="26"/>
    </row>
    <row r="16" customFormat="false" ht="15" hidden="false" customHeight="false" outlineLevel="0" collapsed="false">
      <c r="A16" s="5" t="s">
        <v>220</v>
      </c>
      <c r="B16" s="5" t="s">
        <v>939</v>
      </c>
      <c r="C16" s="5" t="s">
        <v>945</v>
      </c>
      <c r="D16" s="5" t="s">
        <v>132</v>
      </c>
      <c r="E16" s="25" t="n">
        <v>1800</v>
      </c>
      <c r="F16" s="5" t="s">
        <v>918</v>
      </c>
      <c r="G16" s="26"/>
    </row>
    <row r="17" customFormat="false" ht="15" hidden="false" customHeight="false" outlineLevel="0" collapsed="false">
      <c r="A17" s="5" t="s">
        <v>946</v>
      </c>
      <c r="B17" s="5" t="s">
        <v>939</v>
      </c>
      <c r="C17" s="5" t="s">
        <v>947</v>
      </c>
      <c r="D17" s="5" t="s">
        <v>132</v>
      </c>
      <c r="E17" s="25" t="n">
        <v>1930</v>
      </c>
      <c r="F17" s="5" t="s">
        <v>918</v>
      </c>
      <c r="G17" s="26"/>
    </row>
    <row r="18" customFormat="false" ht="15" hidden="false" customHeight="false" outlineLevel="0" collapsed="false">
      <c r="A18" s="5" t="s">
        <v>261</v>
      </c>
      <c r="B18" s="5" t="s">
        <v>948</v>
      </c>
      <c r="C18" s="5" t="s">
        <v>949</v>
      </c>
      <c r="D18" s="5" t="s">
        <v>259</v>
      </c>
      <c r="E18" s="25" t="n">
        <v>19800</v>
      </c>
      <c r="F18" s="5" t="s">
        <v>918</v>
      </c>
      <c r="G18" s="26"/>
    </row>
    <row r="19" customFormat="false" ht="15" hidden="false" customHeight="false" outlineLevel="0" collapsed="false">
      <c r="A19" s="5" t="s">
        <v>267</v>
      </c>
      <c r="B19" s="5" t="s">
        <v>948</v>
      </c>
      <c r="C19" s="5" t="s">
        <v>950</v>
      </c>
      <c r="D19" s="5" t="s">
        <v>259</v>
      </c>
      <c r="E19" s="25" t="n">
        <v>19200</v>
      </c>
      <c r="F19" s="5" t="s">
        <v>918</v>
      </c>
      <c r="G19" s="26"/>
    </row>
    <row r="20" customFormat="false" ht="15" hidden="false" customHeight="false" outlineLevel="0" collapsed="false">
      <c r="A20" s="5" t="s">
        <v>270</v>
      </c>
      <c r="B20" s="5" t="s">
        <v>948</v>
      </c>
      <c r="C20" s="5" t="s">
        <v>951</v>
      </c>
      <c r="D20" s="5" t="s">
        <v>108</v>
      </c>
      <c r="E20" s="25" t="n">
        <v>52</v>
      </c>
      <c r="F20" s="5" t="s">
        <v>918</v>
      </c>
      <c r="G20" s="26"/>
    </row>
    <row r="21" customFormat="false" ht="15" hidden="false" customHeight="false" outlineLevel="0" collapsed="false">
      <c r="A21" s="5" t="s">
        <v>273</v>
      </c>
      <c r="B21" s="5" t="s">
        <v>948</v>
      </c>
      <c r="C21" s="5" t="s">
        <v>952</v>
      </c>
      <c r="D21" s="5" t="s">
        <v>108</v>
      </c>
      <c r="E21" s="25" t="n">
        <v>66</v>
      </c>
      <c r="F21" s="5" t="s">
        <v>918</v>
      </c>
      <c r="G21" s="26"/>
    </row>
    <row r="22" customFormat="false" ht="15" hidden="false" customHeight="false" outlineLevel="0" collapsed="false">
      <c r="A22" s="5" t="s">
        <v>276</v>
      </c>
      <c r="B22" s="5" t="s">
        <v>948</v>
      </c>
      <c r="C22" s="5" t="s">
        <v>953</v>
      </c>
      <c r="D22" s="5" t="s">
        <v>108</v>
      </c>
      <c r="E22" s="25" t="n">
        <v>31</v>
      </c>
      <c r="F22" s="5" t="s">
        <v>918</v>
      </c>
      <c r="G22" s="26"/>
    </row>
    <row r="23" customFormat="false" ht="15" hidden="false" customHeight="false" outlineLevel="0" collapsed="false">
      <c r="A23" s="5" t="s">
        <v>262</v>
      </c>
      <c r="B23" s="5" t="s">
        <v>948</v>
      </c>
      <c r="C23" s="5" t="s">
        <v>954</v>
      </c>
      <c r="D23" s="5" t="s">
        <v>955</v>
      </c>
      <c r="E23" s="25" t="n">
        <v>42</v>
      </c>
      <c r="F23" s="5" t="s">
        <v>918</v>
      </c>
      <c r="G23" s="26"/>
    </row>
    <row r="24" customFormat="false" ht="15" hidden="false" customHeight="false" outlineLevel="0" collapsed="false">
      <c r="A24" s="5" t="s">
        <v>246</v>
      </c>
      <c r="B24" s="5" t="s">
        <v>956</v>
      </c>
      <c r="C24" s="5" t="s">
        <v>957</v>
      </c>
      <c r="D24" s="5" t="s">
        <v>108</v>
      </c>
      <c r="E24" s="25" t="n">
        <v>88</v>
      </c>
      <c r="F24" s="5" t="s">
        <v>918</v>
      </c>
      <c r="G24" s="26"/>
    </row>
    <row r="25" customFormat="false" ht="15" hidden="false" customHeight="false" outlineLevel="0" collapsed="false">
      <c r="A25" s="5" t="s">
        <v>242</v>
      </c>
      <c r="B25" s="5" t="s">
        <v>939</v>
      </c>
      <c r="C25" s="5" t="s">
        <v>958</v>
      </c>
      <c r="D25" s="5" t="s">
        <v>108</v>
      </c>
      <c r="E25" s="25" t="n">
        <v>7.5</v>
      </c>
      <c r="F25" s="5" t="s">
        <v>918</v>
      </c>
      <c r="G25" s="26"/>
    </row>
    <row r="26" customFormat="false" ht="15" hidden="false" customHeight="false" outlineLevel="0" collapsed="false">
      <c r="A26" s="5" t="s">
        <v>279</v>
      </c>
      <c r="B26" s="5" t="s">
        <v>939</v>
      </c>
      <c r="C26" s="5" t="s">
        <v>959</v>
      </c>
      <c r="D26" s="5" t="s">
        <v>256</v>
      </c>
      <c r="E26" s="25" t="n">
        <v>28</v>
      </c>
      <c r="F26" s="5" t="s">
        <v>918</v>
      </c>
      <c r="G26" s="26"/>
    </row>
    <row r="27" customFormat="false" ht="15" hidden="false" customHeight="false" outlineLevel="0" collapsed="false">
      <c r="A27" s="5" t="s">
        <v>155</v>
      </c>
      <c r="B27" s="5" t="s">
        <v>960</v>
      </c>
      <c r="C27" s="5" t="s">
        <v>961</v>
      </c>
      <c r="D27" s="5" t="s">
        <v>256</v>
      </c>
      <c r="E27" s="25" t="n">
        <v>78</v>
      </c>
      <c r="F27" s="5" t="s">
        <v>918</v>
      </c>
      <c r="G27" s="26"/>
    </row>
    <row r="28" customFormat="false" ht="15" hidden="false" customHeight="false" outlineLevel="0" collapsed="false">
      <c r="A28" s="5" t="s">
        <v>287</v>
      </c>
      <c r="B28" s="5" t="s">
        <v>939</v>
      </c>
      <c r="C28" s="5" t="s">
        <v>962</v>
      </c>
      <c r="D28" s="5" t="s">
        <v>108</v>
      </c>
      <c r="E28" s="25" t="n">
        <v>380</v>
      </c>
      <c r="F28" s="5" t="s">
        <v>918</v>
      </c>
      <c r="G28" s="26"/>
    </row>
    <row r="29" customFormat="false" ht="15" hidden="false" customHeight="false" outlineLevel="0" collapsed="false">
      <c r="A29" s="5" t="s">
        <v>291</v>
      </c>
      <c r="B29" s="5" t="s">
        <v>960</v>
      </c>
      <c r="C29" s="5" t="s">
        <v>963</v>
      </c>
      <c r="D29" s="5" t="s">
        <v>96</v>
      </c>
      <c r="E29" s="25" t="n">
        <v>2.2</v>
      </c>
      <c r="F29" s="5" t="s">
        <v>914</v>
      </c>
      <c r="G29" s="26" t="s">
        <v>964</v>
      </c>
    </row>
    <row r="30" customFormat="false" ht="15" hidden="false" customHeight="false" outlineLevel="0" collapsed="false">
      <c r="A30" s="5" t="s">
        <v>297</v>
      </c>
      <c r="B30" s="5" t="s">
        <v>960</v>
      </c>
      <c r="C30" s="5" t="s">
        <v>965</v>
      </c>
      <c r="D30" s="5" t="s">
        <v>96</v>
      </c>
      <c r="E30" s="25" t="n">
        <v>2.1</v>
      </c>
      <c r="F30" s="5" t="s">
        <v>914</v>
      </c>
      <c r="G30" s="26" t="s">
        <v>966</v>
      </c>
    </row>
    <row r="31" customFormat="false" ht="15" hidden="false" customHeight="false" outlineLevel="0" collapsed="false">
      <c r="A31" s="5" t="s">
        <v>315</v>
      </c>
      <c r="B31" s="5" t="s">
        <v>960</v>
      </c>
      <c r="C31" s="5" t="s">
        <v>967</v>
      </c>
      <c r="D31" s="5" t="s">
        <v>96</v>
      </c>
      <c r="E31" s="25" t="n">
        <v>5.4</v>
      </c>
      <c r="F31" s="5" t="s">
        <v>914</v>
      </c>
      <c r="G31" s="26" t="s">
        <v>968</v>
      </c>
    </row>
    <row r="32" customFormat="false" ht="15" hidden="false" customHeight="false" outlineLevel="0" collapsed="false">
      <c r="A32" s="5" t="s">
        <v>311</v>
      </c>
      <c r="B32" s="5" t="s">
        <v>960</v>
      </c>
      <c r="C32" s="5" t="s">
        <v>969</v>
      </c>
      <c r="D32" s="5" t="s">
        <v>96</v>
      </c>
      <c r="E32" s="25" t="n">
        <v>9.8</v>
      </c>
      <c r="F32" s="5" t="s">
        <v>918</v>
      </c>
      <c r="G32" s="26"/>
    </row>
    <row r="33" customFormat="false" ht="15" hidden="false" customHeight="false" outlineLevel="0" collapsed="false">
      <c r="A33" s="5" t="s">
        <v>305</v>
      </c>
      <c r="B33" s="5" t="s">
        <v>960</v>
      </c>
      <c r="C33" s="5" t="s">
        <v>970</v>
      </c>
      <c r="D33" s="5" t="s">
        <v>96</v>
      </c>
      <c r="E33" s="25" t="n">
        <v>13.5</v>
      </c>
      <c r="F33" s="5" t="s">
        <v>918</v>
      </c>
      <c r="G33" s="26"/>
    </row>
    <row r="34" customFormat="false" ht="15" hidden="false" customHeight="false" outlineLevel="0" collapsed="false">
      <c r="A34" s="5" t="s">
        <v>308</v>
      </c>
      <c r="B34" s="5" t="s">
        <v>960</v>
      </c>
      <c r="C34" s="5" t="s">
        <v>971</v>
      </c>
      <c r="D34" s="5" t="s">
        <v>96</v>
      </c>
      <c r="E34" s="25" t="n">
        <v>17.9</v>
      </c>
      <c r="F34" s="5" t="s">
        <v>918</v>
      </c>
      <c r="G34" s="26"/>
    </row>
    <row r="35" customFormat="false" ht="15" hidden="false" customHeight="false" outlineLevel="0" collapsed="false">
      <c r="A35" s="5" t="s">
        <v>292</v>
      </c>
      <c r="B35" s="5" t="s">
        <v>960</v>
      </c>
      <c r="C35" s="5" t="s">
        <v>972</v>
      </c>
      <c r="D35" s="5" t="s">
        <v>256</v>
      </c>
      <c r="E35" s="25" t="n">
        <v>3.1</v>
      </c>
      <c r="F35" s="5" t="s">
        <v>918</v>
      </c>
      <c r="G35" s="26"/>
    </row>
    <row r="36" customFormat="false" ht="15" hidden="false" customHeight="false" outlineLevel="0" collapsed="false">
      <c r="A36" s="5" t="s">
        <v>302</v>
      </c>
      <c r="B36" s="5" t="s">
        <v>960</v>
      </c>
      <c r="C36" s="5" t="s">
        <v>973</v>
      </c>
      <c r="D36" s="5" t="s">
        <v>96</v>
      </c>
      <c r="E36" s="25" t="n">
        <v>1.6</v>
      </c>
      <c r="F36" s="5" t="s">
        <v>918</v>
      </c>
      <c r="G36" s="26"/>
    </row>
    <row r="37" customFormat="false" ht="15" hidden="false" customHeight="false" outlineLevel="0" collapsed="false">
      <c r="A37" s="5" t="s">
        <v>326</v>
      </c>
      <c r="B37" s="5" t="s">
        <v>960</v>
      </c>
      <c r="C37" s="5" t="s">
        <v>974</v>
      </c>
      <c r="D37" s="5" t="s">
        <v>256</v>
      </c>
      <c r="E37" s="25" t="n">
        <v>7.5</v>
      </c>
      <c r="F37" s="5" t="s">
        <v>918</v>
      </c>
      <c r="G37" s="26"/>
    </row>
    <row r="38" customFormat="false" ht="15" hidden="false" customHeight="false" outlineLevel="0" collapsed="false">
      <c r="A38" s="5" t="s">
        <v>329</v>
      </c>
      <c r="B38" s="5" t="s">
        <v>960</v>
      </c>
      <c r="C38" s="5" t="s">
        <v>975</v>
      </c>
      <c r="D38" s="5" t="s">
        <v>256</v>
      </c>
      <c r="E38" s="25" t="n">
        <v>4.6</v>
      </c>
      <c r="F38" s="5" t="s">
        <v>918</v>
      </c>
      <c r="G38" s="26"/>
    </row>
    <row r="39" customFormat="false" ht="15" hidden="false" customHeight="false" outlineLevel="0" collapsed="false">
      <c r="A39" s="5" t="s">
        <v>336</v>
      </c>
      <c r="B39" s="5" t="s">
        <v>960</v>
      </c>
      <c r="C39" s="5" t="s">
        <v>976</v>
      </c>
      <c r="D39" s="5" t="s">
        <v>256</v>
      </c>
      <c r="E39" s="25" t="n">
        <v>4.5</v>
      </c>
      <c r="F39" s="5" t="s">
        <v>918</v>
      </c>
      <c r="G39" s="26"/>
    </row>
    <row r="40" customFormat="false" ht="15" hidden="false" customHeight="false" outlineLevel="0" collapsed="false">
      <c r="A40" s="5" t="s">
        <v>365</v>
      </c>
      <c r="B40" s="5" t="s">
        <v>977</v>
      </c>
      <c r="C40" s="5" t="s">
        <v>978</v>
      </c>
      <c r="D40" s="5" t="s">
        <v>108</v>
      </c>
      <c r="E40" s="25" t="n">
        <v>330</v>
      </c>
      <c r="F40" s="5" t="s">
        <v>918</v>
      </c>
      <c r="G40" s="26" t="s">
        <v>979</v>
      </c>
    </row>
    <row r="41" customFormat="false" ht="15" hidden="false" customHeight="false" outlineLevel="0" collapsed="false">
      <c r="A41" s="5" t="s">
        <v>368</v>
      </c>
      <c r="B41" s="5" t="s">
        <v>977</v>
      </c>
      <c r="C41" s="5" t="s">
        <v>980</v>
      </c>
      <c r="D41" s="5" t="s">
        <v>256</v>
      </c>
      <c r="E41" s="25" t="n">
        <v>44</v>
      </c>
      <c r="F41" s="5" t="s">
        <v>918</v>
      </c>
      <c r="G41" s="26"/>
    </row>
    <row r="42" customFormat="false" ht="15" hidden="false" customHeight="false" outlineLevel="0" collapsed="false">
      <c r="A42" s="5" t="s">
        <v>981</v>
      </c>
      <c r="B42" s="5" t="s">
        <v>977</v>
      </c>
      <c r="C42" s="5" t="s">
        <v>982</v>
      </c>
      <c r="D42" s="5" t="s">
        <v>256</v>
      </c>
      <c r="E42" s="25" t="n">
        <v>60</v>
      </c>
      <c r="F42" s="5" t="s">
        <v>918</v>
      </c>
      <c r="G42" s="26"/>
    </row>
    <row r="43" customFormat="false" ht="15" hidden="false" customHeight="false" outlineLevel="0" collapsed="false">
      <c r="A43" s="5" t="s">
        <v>375</v>
      </c>
      <c r="B43" s="5" t="s">
        <v>977</v>
      </c>
      <c r="C43" s="5" t="s">
        <v>983</v>
      </c>
      <c r="D43" s="5" t="s">
        <v>256</v>
      </c>
      <c r="E43" s="25" t="n">
        <v>10.5</v>
      </c>
      <c r="F43" s="5" t="s">
        <v>918</v>
      </c>
      <c r="G43" s="26"/>
    </row>
    <row r="44" customFormat="false" ht="15" hidden="false" customHeight="false" outlineLevel="0" collapsed="false">
      <c r="A44" s="5" t="s">
        <v>374</v>
      </c>
      <c r="B44" s="5" t="s">
        <v>977</v>
      </c>
      <c r="C44" s="5" t="s">
        <v>984</v>
      </c>
      <c r="D44" s="5" t="s">
        <v>108</v>
      </c>
      <c r="E44" s="25" t="n">
        <v>165</v>
      </c>
      <c r="F44" s="5" t="s">
        <v>918</v>
      </c>
      <c r="G44" s="26"/>
    </row>
    <row r="45" customFormat="false" ht="15" hidden="false" customHeight="false" outlineLevel="0" collapsed="false">
      <c r="A45" s="5" t="s">
        <v>379</v>
      </c>
      <c r="B45" s="5" t="s">
        <v>977</v>
      </c>
      <c r="C45" s="5" t="s">
        <v>985</v>
      </c>
      <c r="D45" s="5" t="s">
        <v>108</v>
      </c>
      <c r="E45" s="25" t="n">
        <v>330</v>
      </c>
      <c r="F45" s="5" t="s">
        <v>918</v>
      </c>
      <c r="G45" s="26"/>
    </row>
    <row r="46" customFormat="false" ht="15" hidden="false" customHeight="false" outlineLevel="0" collapsed="false">
      <c r="A46" s="5" t="s">
        <v>376</v>
      </c>
      <c r="B46" s="5" t="s">
        <v>977</v>
      </c>
      <c r="C46" s="5" t="s">
        <v>986</v>
      </c>
      <c r="D46" s="5" t="s">
        <v>108</v>
      </c>
      <c r="E46" s="25" t="n">
        <v>17</v>
      </c>
      <c r="F46" s="5" t="s">
        <v>918</v>
      </c>
      <c r="G46" s="26"/>
    </row>
    <row r="47" customFormat="false" ht="15" hidden="false" customHeight="false" outlineLevel="0" collapsed="false">
      <c r="A47" s="5" t="s">
        <v>382</v>
      </c>
      <c r="B47" s="5" t="s">
        <v>977</v>
      </c>
      <c r="C47" s="5" t="s">
        <v>987</v>
      </c>
      <c r="D47" s="5" t="s">
        <v>108</v>
      </c>
      <c r="E47" s="25" t="n">
        <v>185</v>
      </c>
      <c r="F47" s="5" t="s">
        <v>918</v>
      </c>
      <c r="G47" s="26"/>
    </row>
    <row r="48" customFormat="false" ht="15" hidden="false" customHeight="false" outlineLevel="0" collapsed="false">
      <c r="A48" s="5" t="s">
        <v>385</v>
      </c>
      <c r="B48" s="5" t="s">
        <v>977</v>
      </c>
      <c r="C48" s="5" t="s">
        <v>988</v>
      </c>
      <c r="D48" s="5" t="s">
        <v>108</v>
      </c>
      <c r="E48" s="25" t="n">
        <v>150</v>
      </c>
      <c r="F48" s="5" t="s">
        <v>918</v>
      </c>
      <c r="G48" s="26"/>
    </row>
    <row r="49" customFormat="false" ht="15" hidden="false" customHeight="false" outlineLevel="0" collapsed="false">
      <c r="A49" s="5" t="s">
        <v>388</v>
      </c>
      <c r="B49" s="5" t="s">
        <v>977</v>
      </c>
      <c r="C49" s="5" t="s">
        <v>989</v>
      </c>
      <c r="D49" s="5" t="s">
        <v>108</v>
      </c>
      <c r="E49" s="25" t="n">
        <v>145</v>
      </c>
      <c r="F49" s="5" t="s">
        <v>918</v>
      </c>
      <c r="G49" s="26"/>
    </row>
    <row r="50" customFormat="false" ht="15" hidden="false" customHeight="false" outlineLevel="0" collapsed="false">
      <c r="A50" s="5" t="s">
        <v>394</v>
      </c>
      <c r="B50" s="5" t="s">
        <v>977</v>
      </c>
      <c r="C50" s="5" t="s">
        <v>990</v>
      </c>
      <c r="D50" s="5" t="s">
        <v>256</v>
      </c>
      <c r="E50" s="25" t="n">
        <v>95</v>
      </c>
      <c r="F50" s="5" t="s">
        <v>918</v>
      </c>
      <c r="G50" s="26"/>
    </row>
    <row r="51" customFormat="false" ht="15" hidden="false" customHeight="false" outlineLevel="0" collapsed="false">
      <c r="A51" s="5" t="s">
        <v>397</v>
      </c>
      <c r="B51" s="5" t="s">
        <v>977</v>
      </c>
      <c r="C51" s="5" t="s">
        <v>991</v>
      </c>
      <c r="D51" s="5" t="s">
        <v>96</v>
      </c>
      <c r="E51" s="25" t="n">
        <v>26</v>
      </c>
      <c r="F51" s="5" t="s">
        <v>918</v>
      </c>
      <c r="G51" s="26"/>
    </row>
    <row r="52" customFormat="false" ht="15" hidden="false" customHeight="false" outlineLevel="0" collapsed="false">
      <c r="A52" s="5" t="s">
        <v>400</v>
      </c>
      <c r="B52" s="5" t="s">
        <v>977</v>
      </c>
      <c r="C52" s="5" t="s">
        <v>399</v>
      </c>
      <c r="D52" s="5" t="s">
        <v>256</v>
      </c>
      <c r="E52" s="25" t="n">
        <v>110</v>
      </c>
      <c r="F52" s="5" t="s">
        <v>918</v>
      </c>
      <c r="G52" s="26"/>
    </row>
    <row r="53" customFormat="false" ht="15" hidden="false" customHeight="false" outlineLevel="0" collapsed="false">
      <c r="A53" s="5" t="s">
        <v>403</v>
      </c>
      <c r="B53" s="5" t="s">
        <v>977</v>
      </c>
      <c r="C53" s="5" t="s">
        <v>402</v>
      </c>
      <c r="D53" s="5" t="s">
        <v>256</v>
      </c>
      <c r="E53" s="25" t="n">
        <v>140</v>
      </c>
      <c r="F53" s="5" t="s">
        <v>918</v>
      </c>
      <c r="G53" s="26"/>
    </row>
    <row r="54" customFormat="false" ht="15" hidden="false" customHeight="false" outlineLevel="0" collapsed="false">
      <c r="A54" s="5" t="s">
        <v>406</v>
      </c>
      <c r="B54" s="5" t="s">
        <v>977</v>
      </c>
      <c r="C54" s="5" t="s">
        <v>992</v>
      </c>
      <c r="D54" s="5" t="s">
        <v>256</v>
      </c>
      <c r="E54" s="25" t="n">
        <v>92</v>
      </c>
      <c r="F54" s="5" t="s">
        <v>918</v>
      </c>
      <c r="G54" s="26"/>
    </row>
    <row r="55" customFormat="false" ht="15" hidden="false" customHeight="false" outlineLevel="0" collapsed="false">
      <c r="A55" s="5" t="s">
        <v>411</v>
      </c>
      <c r="B55" s="5" t="s">
        <v>977</v>
      </c>
      <c r="C55" s="5" t="s">
        <v>410</v>
      </c>
      <c r="D55" s="5" t="s">
        <v>256</v>
      </c>
      <c r="E55" s="25" t="n">
        <v>260</v>
      </c>
      <c r="F55" s="5" t="s">
        <v>918</v>
      </c>
      <c r="G55" s="26" t="s">
        <v>993</v>
      </c>
    </row>
    <row r="56" customFormat="false" ht="15" hidden="false" customHeight="false" outlineLevel="0" collapsed="false">
      <c r="A56" s="5" t="s">
        <v>414</v>
      </c>
      <c r="B56" s="5" t="s">
        <v>977</v>
      </c>
      <c r="C56" s="5" t="s">
        <v>994</v>
      </c>
      <c r="D56" s="5" t="s">
        <v>256</v>
      </c>
      <c r="E56" s="25" t="n">
        <v>85</v>
      </c>
      <c r="F56" s="5" t="s">
        <v>918</v>
      </c>
      <c r="G56" s="26"/>
    </row>
    <row r="57" customFormat="false" ht="15" hidden="false" customHeight="false" outlineLevel="0" collapsed="false">
      <c r="A57" s="5" t="s">
        <v>417</v>
      </c>
      <c r="B57" s="5" t="s">
        <v>977</v>
      </c>
      <c r="C57" s="5" t="s">
        <v>416</v>
      </c>
      <c r="D57" s="5" t="s">
        <v>108</v>
      </c>
      <c r="E57" s="25" t="n">
        <v>92</v>
      </c>
      <c r="F57" s="5" t="s">
        <v>918</v>
      </c>
      <c r="G57" s="26"/>
    </row>
    <row r="58" customFormat="false" ht="15" hidden="false" customHeight="false" outlineLevel="0" collapsed="false">
      <c r="A58" s="5" t="s">
        <v>420</v>
      </c>
      <c r="B58" s="5" t="s">
        <v>977</v>
      </c>
      <c r="C58" s="5" t="s">
        <v>419</v>
      </c>
      <c r="D58" s="5" t="s">
        <v>108</v>
      </c>
      <c r="E58" s="25" t="n">
        <v>68</v>
      </c>
      <c r="F58" s="5" t="s">
        <v>918</v>
      </c>
      <c r="G58" s="26"/>
    </row>
    <row r="59" customFormat="false" ht="15" hidden="false" customHeight="false" outlineLevel="0" collapsed="false">
      <c r="A59" s="5" t="s">
        <v>423</v>
      </c>
      <c r="B59" s="5" t="s">
        <v>977</v>
      </c>
      <c r="C59" s="5" t="s">
        <v>995</v>
      </c>
      <c r="D59" s="5" t="s">
        <v>108</v>
      </c>
      <c r="E59" s="25" t="n">
        <v>22</v>
      </c>
      <c r="F59" s="5" t="s">
        <v>918</v>
      </c>
      <c r="G59" s="26"/>
    </row>
    <row r="60" customFormat="false" ht="15" hidden="false" customHeight="false" outlineLevel="0" collapsed="false">
      <c r="A60" s="5" t="s">
        <v>426</v>
      </c>
      <c r="B60" s="5" t="s">
        <v>977</v>
      </c>
      <c r="C60" s="5" t="s">
        <v>996</v>
      </c>
      <c r="D60" s="5" t="s">
        <v>108</v>
      </c>
      <c r="E60" s="25" t="n">
        <v>950</v>
      </c>
      <c r="F60" s="5" t="s">
        <v>914</v>
      </c>
      <c r="G60" s="26" t="s">
        <v>997</v>
      </c>
    </row>
    <row r="61" customFormat="false" ht="15" hidden="false" customHeight="false" outlineLevel="0" collapsed="false">
      <c r="A61" s="5" t="s">
        <v>429</v>
      </c>
      <c r="B61" s="5" t="s">
        <v>977</v>
      </c>
      <c r="C61" s="5" t="s">
        <v>998</v>
      </c>
      <c r="D61" s="5" t="s">
        <v>108</v>
      </c>
      <c r="E61" s="25" t="n">
        <v>480</v>
      </c>
      <c r="F61" s="5" t="s">
        <v>918</v>
      </c>
      <c r="G61" s="26"/>
    </row>
    <row r="62" customFormat="false" ht="15" hidden="false" customHeight="false" outlineLevel="0" collapsed="false">
      <c r="A62" s="5" t="s">
        <v>434</v>
      </c>
      <c r="B62" s="5" t="s">
        <v>999</v>
      </c>
      <c r="C62" s="5" t="s">
        <v>1000</v>
      </c>
      <c r="D62" s="5" t="s">
        <v>96</v>
      </c>
      <c r="E62" s="25" t="n">
        <v>620</v>
      </c>
      <c r="F62" s="5" t="s">
        <v>918</v>
      </c>
      <c r="G62" s="26"/>
    </row>
    <row r="63" customFormat="false" ht="15" hidden="false" customHeight="false" outlineLevel="0" collapsed="false">
      <c r="A63" s="5" t="s">
        <v>438</v>
      </c>
      <c r="B63" s="5" t="s">
        <v>999</v>
      </c>
      <c r="C63" s="5" t="s">
        <v>1001</v>
      </c>
      <c r="D63" s="5" t="s">
        <v>96</v>
      </c>
      <c r="E63" s="25" t="n">
        <v>1450</v>
      </c>
      <c r="F63" s="5" t="s">
        <v>918</v>
      </c>
      <c r="G63" s="26"/>
    </row>
    <row r="64" customFormat="false" ht="15" hidden="false" customHeight="false" outlineLevel="0" collapsed="false">
      <c r="A64" s="5" t="s">
        <v>441</v>
      </c>
      <c r="B64" s="5" t="s">
        <v>999</v>
      </c>
      <c r="C64" s="5" t="s">
        <v>1002</v>
      </c>
      <c r="D64" s="5" t="s">
        <v>96</v>
      </c>
      <c r="E64" s="25" t="n">
        <v>3600</v>
      </c>
      <c r="F64" s="5" t="s">
        <v>918</v>
      </c>
      <c r="G64" s="26"/>
    </row>
    <row r="65" customFormat="false" ht="15" hidden="false" customHeight="false" outlineLevel="0" collapsed="false">
      <c r="A65" s="5" t="s">
        <v>435</v>
      </c>
      <c r="B65" s="5" t="s">
        <v>999</v>
      </c>
      <c r="C65" s="5" t="s">
        <v>1003</v>
      </c>
      <c r="D65" s="5" t="s">
        <v>1004</v>
      </c>
      <c r="E65" s="25" t="n">
        <v>75</v>
      </c>
      <c r="F65" s="5" t="s">
        <v>918</v>
      </c>
      <c r="G65" s="26"/>
    </row>
    <row r="66" customFormat="false" ht="15" hidden="false" customHeight="false" outlineLevel="0" collapsed="false">
      <c r="A66" s="5" t="s">
        <v>444</v>
      </c>
      <c r="B66" s="5" t="s">
        <v>999</v>
      </c>
      <c r="C66" s="5" t="s">
        <v>1005</v>
      </c>
      <c r="D66" s="5" t="s">
        <v>96</v>
      </c>
      <c r="E66" s="25" t="n">
        <v>680</v>
      </c>
      <c r="F66" s="5" t="s">
        <v>918</v>
      </c>
      <c r="G66" s="26"/>
    </row>
    <row r="67" customFormat="false" ht="15" hidden="false" customHeight="false" outlineLevel="0" collapsed="false">
      <c r="A67" s="5" t="s">
        <v>447</v>
      </c>
      <c r="B67" s="5" t="s">
        <v>999</v>
      </c>
      <c r="C67" s="5" t="s">
        <v>1006</v>
      </c>
      <c r="D67" s="5" t="s">
        <v>96</v>
      </c>
      <c r="E67" s="25" t="n">
        <v>1650</v>
      </c>
      <c r="F67" s="5" t="s">
        <v>918</v>
      </c>
      <c r="G67" s="26"/>
    </row>
    <row r="68" customFormat="false" ht="15" hidden="false" customHeight="false" outlineLevel="0" collapsed="false">
      <c r="A68" s="5" t="s">
        <v>450</v>
      </c>
      <c r="B68" s="5" t="s">
        <v>1007</v>
      </c>
      <c r="C68" s="5" t="s">
        <v>449</v>
      </c>
      <c r="D68" s="5" t="s">
        <v>96</v>
      </c>
      <c r="E68" s="25" t="n">
        <v>320</v>
      </c>
      <c r="F68" s="5" t="s">
        <v>918</v>
      </c>
      <c r="G68" s="26"/>
    </row>
    <row r="69" customFormat="false" ht="15" hidden="false" customHeight="false" outlineLevel="0" collapsed="false">
      <c r="A69" s="5" t="s">
        <v>453</v>
      </c>
      <c r="B69" s="5" t="s">
        <v>1007</v>
      </c>
      <c r="C69" s="5" t="s">
        <v>452</v>
      </c>
      <c r="D69" s="5" t="s">
        <v>96</v>
      </c>
      <c r="E69" s="25" t="n">
        <v>190</v>
      </c>
      <c r="F69" s="5" t="s">
        <v>918</v>
      </c>
      <c r="G69" s="26"/>
    </row>
    <row r="70" customFormat="false" ht="15" hidden="false" customHeight="false" outlineLevel="0" collapsed="false">
      <c r="A70" s="5" t="s">
        <v>456</v>
      </c>
      <c r="B70" s="5" t="s">
        <v>1007</v>
      </c>
      <c r="C70" s="5" t="s">
        <v>1008</v>
      </c>
      <c r="D70" s="5" t="s">
        <v>96</v>
      </c>
      <c r="E70" s="25" t="n">
        <v>650</v>
      </c>
      <c r="F70" s="5" t="s">
        <v>918</v>
      </c>
      <c r="G70" s="26"/>
    </row>
    <row r="71" customFormat="false" ht="15" hidden="false" customHeight="false" outlineLevel="0" collapsed="false">
      <c r="A71" s="5" t="s">
        <v>459</v>
      </c>
      <c r="B71" s="5" t="s">
        <v>1007</v>
      </c>
      <c r="C71" s="5" t="s">
        <v>458</v>
      </c>
      <c r="D71" s="5" t="s">
        <v>96</v>
      </c>
      <c r="E71" s="25" t="n">
        <v>45</v>
      </c>
      <c r="F71" s="5" t="s">
        <v>918</v>
      </c>
      <c r="G71" s="26"/>
    </row>
    <row r="72" customFormat="false" ht="15" hidden="false" customHeight="false" outlineLevel="0" collapsed="false">
      <c r="A72" s="5" t="s">
        <v>462</v>
      </c>
      <c r="B72" s="5" t="s">
        <v>999</v>
      </c>
      <c r="C72" s="5" t="s">
        <v>1009</v>
      </c>
      <c r="D72" s="5" t="s">
        <v>256</v>
      </c>
      <c r="E72" s="25" t="n">
        <v>38</v>
      </c>
      <c r="F72" s="5" t="s">
        <v>918</v>
      </c>
      <c r="G72" s="26"/>
    </row>
    <row r="73" customFormat="false" ht="15" hidden="false" customHeight="false" outlineLevel="0" collapsed="false">
      <c r="A73" s="5" t="s">
        <v>465</v>
      </c>
      <c r="B73" s="5" t="s">
        <v>999</v>
      </c>
      <c r="C73" s="5" t="s">
        <v>1010</v>
      </c>
      <c r="D73" s="5" t="s">
        <v>256</v>
      </c>
      <c r="E73" s="25" t="n">
        <v>5200</v>
      </c>
      <c r="F73" s="5" t="s">
        <v>918</v>
      </c>
      <c r="G73" s="26" t="s">
        <v>1011</v>
      </c>
    </row>
    <row r="74" customFormat="false" ht="15" hidden="false" customHeight="false" outlineLevel="0" collapsed="false">
      <c r="A74" s="5" t="s">
        <v>468</v>
      </c>
      <c r="B74" s="5" t="s">
        <v>999</v>
      </c>
      <c r="C74" s="5" t="s">
        <v>467</v>
      </c>
      <c r="D74" s="5" t="s">
        <v>256</v>
      </c>
      <c r="E74" s="25" t="n">
        <v>5800</v>
      </c>
      <c r="F74" s="5" t="s">
        <v>918</v>
      </c>
      <c r="G74" s="26" t="s">
        <v>1011</v>
      </c>
    </row>
    <row r="75" customFormat="false" ht="15" hidden="false" customHeight="false" outlineLevel="0" collapsed="false">
      <c r="A75" s="5" t="s">
        <v>471</v>
      </c>
      <c r="B75" s="5" t="s">
        <v>999</v>
      </c>
      <c r="C75" s="5" t="s">
        <v>470</v>
      </c>
      <c r="D75" s="5" t="s">
        <v>256</v>
      </c>
      <c r="E75" s="25" t="n">
        <v>3900</v>
      </c>
      <c r="F75" s="5" t="s">
        <v>918</v>
      </c>
      <c r="G75" s="26" t="s">
        <v>1011</v>
      </c>
    </row>
    <row r="76" customFormat="false" ht="15" hidden="false" customHeight="false" outlineLevel="0" collapsed="false">
      <c r="A76" s="5" t="s">
        <v>474</v>
      </c>
      <c r="B76" s="5" t="s">
        <v>999</v>
      </c>
      <c r="C76" s="5" t="s">
        <v>1012</v>
      </c>
      <c r="D76" s="5" t="s">
        <v>256</v>
      </c>
      <c r="E76" s="25" t="n">
        <v>3200</v>
      </c>
      <c r="F76" s="5" t="s">
        <v>918</v>
      </c>
      <c r="G76" s="26" t="s">
        <v>1011</v>
      </c>
    </row>
    <row r="77" customFormat="false" ht="15" hidden="false" customHeight="false" outlineLevel="0" collapsed="false">
      <c r="A77" s="5" t="s">
        <v>478</v>
      </c>
      <c r="B77" s="5" t="s">
        <v>1013</v>
      </c>
      <c r="C77" s="5" t="s">
        <v>1014</v>
      </c>
      <c r="D77" s="5" t="s">
        <v>108</v>
      </c>
      <c r="E77" s="25" t="n">
        <v>1350</v>
      </c>
      <c r="F77" s="5" t="s">
        <v>918</v>
      </c>
      <c r="G77" s="26"/>
    </row>
    <row r="78" customFormat="false" ht="15" hidden="false" customHeight="false" outlineLevel="0" collapsed="false">
      <c r="A78" s="5" t="s">
        <v>482</v>
      </c>
      <c r="B78" s="5" t="s">
        <v>1013</v>
      </c>
      <c r="C78" s="5" t="s">
        <v>1015</v>
      </c>
      <c r="D78" s="5" t="s">
        <v>108</v>
      </c>
      <c r="E78" s="25" t="n">
        <v>2650</v>
      </c>
      <c r="F78" s="5" t="s">
        <v>918</v>
      </c>
      <c r="G78" s="26"/>
    </row>
    <row r="79" customFormat="false" ht="15" hidden="false" customHeight="false" outlineLevel="0" collapsed="false">
      <c r="A79" s="5" t="s">
        <v>485</v>
      </c>
      <c r="B79" s="5" t="s">
        <v>1013</v>
      </c>
      <c r="C79" s="5" t="s">
        <v>1016</v>
      </c>
      <c r="D79" s="5" t="s">
        <v>108</v>
      </c>
      <c r="E79" s="25" t="n">
        <v>3100</v>
      </c>
      <c r="F79" s="5" t="s">
        <v>918</v>
      </c>
      <c r="G79" s="26"/>
    </row>
    <row r="80" customFormat="false" ht="15" hidden="false" customHeight="false" outlineLevel="0" collapsed="false">
      <c r="A80" s="5" t="s">
        <v>488</v>
      </c>
      <c r="B80" s="5" t="s">
        <v>1013</v>
      </c>
      <c r="C80" s="5" t="s">
        <v>1017</v>
      </c>
      <c r="D80" s="5" t="s">
        <v>108</v>
      </c>
      <c r="E80" s="25" t="n">
        <v>3400</v>
      </c>
      <c r="F80" s="5" t="s">
        <v>918</v>
      </c>
      <c r="G80" s="26"/>
    </row>
    <row r="81" customFormat="false" ht="15" hidden="false" customHeight="false" outlineLevel="0" collapsed="false">
      <c r="A81" s="5" t="s">
        <v>491</v>
      </c>
      <c r="B81" s="5" t="s">
        <v>1013</v>
      </c>
      <c r="C81" s="5" t="s">
        <v>1018</v>
      </c>
      <c r="D81" s="5" t="s">
        <v>108</v>
      </c>
      <c r="E81" s="25" t="n">
        <v>3300</v>
      </c>
      <c r="F81" s="5" t="s">
        <v>918</v>
      </c>
      <c r="G81" s="26"/>
    </row>
    <row r="82" customFormat="false" ht="15" hidden="false" customHeight="false" outlineLevel="0" collapsed="false">
      <c r="A82" s="5" t="s">
        <v>494</v>
      </c>
      <c r="B82" s="5" t="s">
        <v>1013</v>
      </c>
      <c r="C82" s="5" t="s">
        <v>1019</v>
      </c>
      <c r="D82" s="5" t="s">
        <v>108</v>
      </c>
      <c r="E82" s="25" t="n">
        <v>2900</v>
      </c>
      <c r="F82" s="5" t="s">
        <v>918</v>
      </c>
      <c r="G82" s="26"/>
    </row>
    <row r="83" customFormat="false" ht="15" hidden="false" customHeight="false" outlineLevel="0" collapsed="false">
      <c r="A83" s="5" t="s">
        <v>497</v>
      </c>
      <c r="B83" s="5" t="s">
        <v>1013</v>
      </c>
      <c r="C83" s="5" t="s">
        <v>1020</v>
      </c>
      <c r="D83" s="5" t="s">
        <v>108</v>
      </c>
      <c r="E83" s="25" t="n">
        <v>650</v>
      </c>
      <c r="F83" s="5" t="s">
        <v>918</v>
      </c>
      <c r="G83" s="26"/>
    </row>
    <row r="84" customFormat="false" ht="15" hidden="false" customHeight="false" outlineLevel="0" collapsed="false">
      <c r="A84" s="5" t="s">
        <v>500</v>
      </c>
      <c r="B84" s="5" t="s">
        <v>1013</v>
      </c>
      <c r="C84" s="5" t="s">
        <v>1021</v>
      </c>
      <c r="D84" s="5" t="s">
        <v>108</v>
      </c>
      <c r="E84" s="25" t="n">
        <v>1500</v>
      </c>
      <c r="F84" s="5" t="s">
        <v>918</v>
      </c>
      <c r="G84" s="26"/>
    </row>
    <row r="85" customFormat="false" ht="15" hidden="false" customHeight="false" outlineLevel="0" collapsed="false">
      <c r="A85" s="5" t="s">
        <v>503</v>
      </c>
      <c r="B85" s="5" t="s">
        <v>1013</v>
      </c>
      <c r="C85" s="5" t="s">
        <v>1022</v>
      </c>
      <c r="D85" s="5" t="s">
        <v>96</v>
      </c>
      <c r="E85" s="25" t="n">
        <v>16500</v>
      </c>
      <c r="F85" s="5" t="s">
        <v>918</v>
      </c>
      <c r="G85" s="26"/>
    </row>
    <row r="86" customFormat="false" ht="15" hidden="false" customHeight="false" outlineLevel="0" collapsed="false">
      <c r="A86" s="5" t="s">
        <v>506</v>
      </c>
      <c r="B86" s="5" t="s">
        <v>1013</v>
      </c>
      <c r="C86" s="5" t="s">
        <v>505</v>
      </c>
      <c r="D86" s="5" t="s">
        <v>96</v>
      </c>
      <c r="E86" s="25" t="n">
        <v>6500</v>
      </c>
      <c r="F86" s="5" t="s">
        <v>918</v>
      </c>
      <c r="G86" s="26"/>
    </row>
    <row r="87" customFormat="false" ht="15" hidden="false" customHeight="false" outlineLevel="0" collapsed="false">
      <c r="A87" s="5" t="s">
        <v>511</v>
      </c>
      <c r="B87" s="5" t="s">
        <v>1023</v>
      </c>
      <c r="C87" s="5" t="s">
        <v>1024</v>
      </c>
      <c r="D87" s="5" t="s">
        <v>108</v>
      </c>
      <c r="E87" s="25" t="n">
        <v>58</v>
      </c>
      <c r="F87" s="5" t="s">
        <v>918</v>
      </c>
      <c r="G87" s="26"/>
    </row>
    <row r="88" customFormat="false" ht="15" hidden="false" customHeight="false" outlineLevel="0" collapsed="false">
      <c r="A88" s="5" t="s">
        <v>514</v>
      </c>
      <c r="B88" s="5" t="s">
        <v>1023</v>
      </c>
      <c r="C88" s="5" t="s">
        <v>1025</v>
      </c>
      <c r="D88" s="5" t="s">
        <v>108</v>
      </c>
      <c r="E88" s="25" t="n">
        <v>72</v>
      </c>
      <c r="F88" s="5" t="s">
        <v>918</v>
      </c>
      <c r="G88" s="26"/>
    </row>
    <row r="89" customFormat="false" ht="15" hidden="false" customHeight="false" outlineLevel="0" collapsed="false">
      <c r="A89" s="5" t="s">
        <v>530</v>
      </c>
      <c r="B89" s="5" t="s">
        <v>1023</v>
      </c>
      <c r="C89" s="5" t="s">
        <v>1026</v>
      </c>
      <c r="D89" s="5" t="s">
        <v>108</v>
      </c>
      <c r="E89" s="25" t="n">
        <v>88</v>
      </c>
      <c r="F89" s="5" t="s">
        <v>918</v>
      </c>
      <c r="G89" s="26"/>
    </row>
    <row r="90" customFormat="false" ht="15" hidden="false" customHeight="false" outlineLevel="0" collapsed="false">
      <c r="A90" s="5" t="s">
        <v>533</v>
      </c>
      <c r="B90" s="5" t="s">
        <v>1023</v>
      </c>
      <c r="C90" s="5" t="s">
        <v>1027</v>
      </c>
      <c r="D90" s="5" t="s">
        <v>108</v>
      </c>
      <c r="E90" s="25" t="n">
        <v>118</v>
      </c>
      <c r="F90" s="5" t="s">
        <v>918</v>
      </c>
      <c r="G90" s="26"/>
    </row>
    <row r="91" customFormat="false" ht="15" hidden="false" customHeight="false" outlineLevel="0" collapsed="false">
      <c r="A91" s="5" t="s">
        <v>517</v>
      </c>
      <c r="B91" s="5" t="s">
        <v>1023</v>
      </c>
      <c r="C91" s="5" t="s">
        <v>1028</v>
      </c>
      <c r="D91" s="5" t="s">
        <v>108</v>
      </c>
      <c r="E91" s="25" t="n">
        <v>240</v>
      </c>
      <c r="F91" s="5" t="s">
        <v>918</v>
      </c>
      <c r="G91" s="26"/>
    </row>
    <row r="92" customFormat="false" ht="15" hidden="false" customHeight="false" outlineLevel="0" collapsed="false">
      <c r="A92" s="5" t="s">
        <v>520</v>
      </c>
      <c r="B92" s="5" t="s">
        <v>1023</v>
      </c>
      <c r="C92" s="5" t="s">
        <v>1029</v>
      </c>
      <c r="D92" s="5" t="s">
        <v>108</v>
      </c>
      <c r="E92" s="25" t="n">
        <v>95</v>
      </c>
      <c r="F92" s="5" t="s">
        <v>918</v>
      </c>
      <c r="G92" s="26"/>
    </row>
    <row r="93" customFormat="false" ht="15" hidden="false" customHeight="false" outlineLevel="0" collapsed="false">
      <c r="A93" s="5" t="s">
        <v>523</v>
      </c>
      <c r="B93" s="5" t="s">
        <v>1023</v>
      </c>
      <c r="C93" s="5" t="s">
        <v>1030</v>
      </c>
      <c r="D93" s="5" t="s">
        <v>108</v>
      </c>
      <c r="E93" s="25" t="n">
        <v>88</v>
      </c>
      <c r="F93" s="5" t="s">
        <v>918</v>
      </c>
      <c r="G93" s="26"/>
    </row>
    <row r="94" customFormat="false" ht="15" hidden="false" customHeight="false" outlineLevel="0" collapsed="false">
      <c r="A94" s="5" t="s">
        <v>526</v>
      </c>
      <c r="B94" s="5" t="s">
        <v>1023</v>
      </c>
      <c r="C94" s="5" t="s">
        <v>525</v>
      </c>
      <c r="D94" s="5" t="s">
        <v>256</v>
      </c>
      <c r="E94" s="25" t="n">
        <v>16</v>
      </c>
      <c r="F94" s="5" t="s">
        <v>918</v>
      </c>
      <c r="G94" s="26"/>
    </row>
    <row r="95" customFormat="false" ht="15" hidden="false" customHeight="false" outlineLevel="0" collapsed="false">
      <c r="A95" s="5" t="s">
        <v>529</v>
      </c>
      <c r="B95" s="5" t="s">
        <v>1023</v>
      </c>
      <c r="C95" s="5" t="s">
        <v>1031</v>
      </c>
      <c r="D95" s="5" t="s">
        <v>108</v>
      </c>
      <c r="E95" s="25" t="n">
        <v>145</v>
      </c>
      <c r="F95" s="5" t="s">
        <v>918</v>
      </c>
      <c r="G95" s="26"/>
    </row>
    <row r="96" customFormat="false" ht="15" hidden="false" customHeight="false" outlineLevel="0" collapsed="false">
      <c r="A96" s="5" t="s">
        <v>537</v>
      </c>
      <c r="B96" s="5" t="s">
        <v>1032</v>
      </c>
      <c r="C96" s="5" t="s">
        <v>1033</v>
      </c>
      <c r="D96" s="5" t="s">
        <v>913</v>
      </c>
      <c r="E96" s="25" t="n">
        <v>175</v>
      </c>
      <c r="F96" s="5" t="s">
        <v>918</v>
      </c>
      <c r="G96" s="26"/>
    </row>
    <row r="97" customFormat="false" ht="15" hidden="false" customHeight="false" outlineLevel="0" collapsed="false">
      <c r="A97" s="5" t="s">
        <v>540</v>
      </c>
      <c r="B97" s="5" t="s">
        <v>1023</v>
      </c>
      <c r="C97" s="5" t="s">
        <v>539</v>
      </c>
      <c r="D97" s="5" t="s">
        <v>96</v>
      </c>
      <c r="E97" s="25" t="n">
        <v>450</v>
      </c>
      <c r="F97" s="5" t="s">
        <v>918</v>
      </c>
      <c r="G97" s="26"/>
    </row>
    <row r="98" customFormat="false" ht="15" hidden="false" customHeight="false" outlineLevel="0" collapsed="false">
      <c r="A98" s="5" t="s">
        <v>551</v>
      </c>
      <c r="B98" s="5" t="s">
        <v>1034</v>
      </c>
      <c r="C98" s="5" t="s">
        <v>550</v>
      </c>
      <c r="D98" s="5" t="s">
        <v>108</v>
      </c>
      <c r="E98" s="25" t="n">
        <v>95</v>
      </c>
      <c r="F98" s="5" t="s">
        <v>918</v>
      </c>
      <c r="G98" s="26"/>
    </row>
    <row r="99" customFormat="false" ht="15" hidden="false" customHeight="false" outlineLevel="0" collapsed="false">
      <c r="A99" s="5" t="s">
        <v>555</v>
      </c>
      <c r="B99" s="5" t="s">
        <v>1034</v>
      </c>
      <c r="C99" s="5" t="s">
        <v>553</v>
      </c>
      <c r="D99" s="5" t="s">
        <v>108</v>
      </c>
      <c r="E99" s="25" t="n">
        <v>290</v>
      </c>
      <c r="F99" s="5" t="s">
        <v>918</v>
      </c>
      <c r="G99" s="26"/>
    </row>
    <row r="100" customFormat="false" ht="15" hidden="false" customHeight="false" outlineLevel="0" collapsed="false">
      <c r="A100" s="5" t="s">
        <v>558</v>
      </c>
      <c r="B100" s="5" t="s">
        <v>1034</v>
      </c>
      <c r="C100" s="5" t="s">
        <v>1035</v>
      </c>
      <c r="D100" s="5" t="s">
        <v>108</v>
      </c>
      <c r="E100" s="25" t="n">
        <v>260</v>
      </c>
      <c r="F100" s="5" t="s">
        <v>918</v>
      </c>
      <c r="G100" s="26"/>
    </row>
    <row r="101" customFormat="false" ht="15" hidden="false" customHeight="false" outlineLevel="0" collapsed="false">
      <c r="A101" s="5" t="s">
        <v>561</v>
      </c>
      <c r="B101" s="5" t="s">
        <v>1034</v>
      </c>
      <c r="C101" s="5" t="s">
        <v>1036</v>
      </c>
      <c r="D101" s="5" t="s">
        <v>108</v>
      </c>
      <c r="E101" s="25" t="n">
        <v>240</v>
      </c>
      <c r="F101" s="5" t="s">
        <v>918</v>
      </c>
      <c r="G101" s="26"/>
    </row>
    <row r="102" customFormat="false" ht="15" hidden="false" customHeight="false" outlineLevel="0" collapsed="false">
      <c r="A102" s="5" t="s">
        <v>564</v>
      </c>
      <c r="B102" s="5" t="s">
        <v>1034</v>
      </c>
      <c r="C102" s="5" t="s">
        <v>1037</v>
      </c>
      <c r="D102" s="5" t="s">
        <v>108</v>
      </c>
      <c r="E102" s="25" t="n">
        <v>230</v>
      </c>
      <c r="F102" s="5" t="s">
        <v>918</v>
      </c>
      <c r="G102" s="26"/>
    </row>
    <row r="103" customFormat="false" ht="15" hidden="false" customHeight="false" outlineLevel="0" collapsed="false">
      <c r="A103" s="5" t="s">
        <v>565</v>
      </c>
      <c r="B103" s="5" t="s">
        <v>1034</v>
      </c>
      <c r="C103" s="5" t="s">
        <v>1038</v>
      </c>
      <c r="D103" s="5" t="s">
        <v>108</v>
      </c>
      <c r="E103" s="25" t="n">
        <v>22</v>
      </c>
      <c r="F103" s="5" t="s">
        <v>918</v>
      </c>
      <c r="G103" s="26"/>
    </row>
    <row r="104" customFormat="false" ht="15" hidden="false" customHeight="false" outlineLevel="0" collapsed="false">
      <c r="A104" s="5" t="s">
        <v>568</v>
      </c>
      <c r="B104" s="5" t="s">
        <v>1034</v>
      </c>
      <c r="C104" s="5" t="s">
        <v>1039</v>
      </c>
      <c r="D104" s="5" t="s">
        <v>108</v>
      </c>
      <c r="E104" s="25" t="n">
        <v>720</v>
      </c>
      <c r="F104" s="5" t="s">
        <v>918</v>
      </c>
      <c r="G104" s="26"/>
    </row>
    <row r="105" customFormat="false" ht="15" hidden="false" customHeight="false" outlineLevel="0" collapsed="false">
      <c r="A105" s="5" t="s">
        <v>572</v>
      </c>
      <c r="B105" s="5" t="s">
        <v>1034</v>
      </c>
      <c r="C105" s="5" t="s">
        <v>570</v>
      </c>
      <c r="D105" s="5" t="s">
        <v>108</v>
      </c>
      <c r="E105" s="25" t="n">
        <v>165</v>
      </c>
      <c r="F105" s="5" t="s">
        <v>918</v>
      </c>
      <c r="G105" s="26"/>
    </row>
    <row r="106" customFormat="false" ht="15" hidden="false" customHeight="false" outlineLevel="0" collapsed="false">
      <c r="A106" s="5" t="s">
        <v>579</v>
      </c>
      <c r="B106" s="5" t="s">
        <v>1040</v>
      </c>
      <c r="C106" s="5" t="s">
        <v>1041</v>
      </c>
      <c r="D106" s="5" t="s">
        <v>108</v>
      </c>
      <c r="E106" s="25" t="n">
        <v>180</v>
      </c>
      <c r="F106" s="5" t="s">
        <v>918</v>
      </c>
      <c r="G106" s="26" t="s">
        <v>1042</v>
      </c>
    </row>
    <row r="107" customFormat="false" ht="15" hidden="false" customHeight="false" outlineLevel="0" collapsed="false">
      <c r="A107" s="5" t="s">
        <v>584</v>
      </c>
      <c r="B107" s="5" t="s">
        <v>1040</v>
      </c>
      <c r="C107" s="5" t="s">
        <v>1043</v>
      </c>
      <c r="D107" s="5" t="s">
        <v>108</v>
      </c>
      <c r="E107" s="25" t="n">
        <v>320</v>
      </c>
      <c r="F107" s="5" t="s">
        <v>918</v>
      </c>
      <c r="G107" s="26" t="s">
        <v>1044</v>
      </c>
    </row>
    <row r="108" customFormat="false" ht="15" hidden="false" customHeight="false" outlineLevel="0" collapsed="false">
      <c r="A108" s="5" t="s">
        <v>587</v>
      </c>
      <c r="B108" s="5" t="s">
        <v>1040</v>
      </c>
      <c r="C108" s="5" t="s">
        <v>1045</v>
      </c>
      <c r="D108" s="5" t="s">
        <v>108</v>
      </c>
      <c r="E108" s="25" t="n">
        <v>165</v>
      </c>
      <c r="F108" s="5" t="s">
        <v>918</v>
      </c>
      <c r="G108" s="26" t="s">
        <v>1044</v>
      </c>
    </row>
    <row r="109" customFormat="false" ht="15" hidden="false" customHeight="false" outlineLevel="0" collapsed="false">
      <c r="A109" s="5" t="s">
        <v>590</v>
      </c>
      <c r="B109" s="5" t="s">
        <v>1040</v>
      </c>
      <c r="C109" s="5" t="s">
        <v>1046</v>
      </c>
      <c r="D109" s="5" t="s">
        <v>108</v>
      </c>
      <c r="E109" s="25" t="n">
        <v>480</v>
      </c>
      <c r="F109" s="5" t="s">
        <v>918</v>
      </c>
      <c r="G109" s="26" t="s">
        <v>1044</v>
      </c>
    </row>
    <row r="110" customFormat="false" ht="15" hidden="false" customHeight="false" outlineLevel="0" collapsed="false">
      <c r="A110" s="5" t="s">
        <v>598</v>
      </c>
      <c r="B110" s="5" t="s">
        <v>1040</v>
      </c>
      <c r="C110" s="5" t="s">
        <v>1047</v>
      </c>
      <c r="D110" s="5" t="s">
        <v>108</v>
      </c>
      <c r="E110" s="25" t="n">
        <v>520</v>
      </c>
      <c r="F110" s="5" t="s">
        <v>918</v>
      </c>
      <c r="G110" s="26" t="s">
        <v>1044</v>
      </c>
    </row>
    <row r="111" customFormat="false" ht="15" hidden="false" customHeight="false" outlineLevel="0" collapsed="false">
      <c r="A111" s="5" t="s">
        <v>601</v>
      </c>
      <c r="B111" s="5" t="s">
        <v>1040</v>
      </c>
      <c r="C111" s="5" t="s">
        <v>1048</v>
      </c>
      <c r="D111" s="5" t="s">
        <v>108</v>
      </c>
      <c r="E111" s="25" t="n">
        <v>260</v>
      </c>
      <c r="F111" s="5" t="s">
        <v>918</v>
      </c>
      <c r="G111" s="26" t="s">
        <v>1044</v>
      </c>
    </row>
    <row r="112" customFormat="false" ht="15" hidden="false" customHeight="false" outlineLevel="0" collapsed="false">
      <c r="A112" s="5" t="s">
        <v>580</v>
      </c>
      <c r="B112" s="5" t="s">
        <v>1040</v>
      </c>
      <c r="C112" s="5" t="s">
        <v>1049</v>
      </c>
      <c r="D112" s="5" t="s">
        <v>913</v>
      </c>
      <c r="E112" s="25" t="n">
        <v>145</v>
      </c>
      <c r="F112" s="5" t="s">
        <v>918</v>
      </c>
      <c r="G112" s="26"/>
    </row>
    <row r="113" customFormat="false" ht="15" hidden="false" customHeight="false" outlineLevel="0" collapsed="false">
      <c r="A113" s="5" t="s">
        <v>581</v>
      </c>
      <c r="B113" s="5" t="s">
        <v>1040</v>
      </c>
      <c r="C113" s="5" t="s">
        <v>1050</v>
      </c>
      <c r="D113" s="5" t="s">
        <v>913</v>
      </c>
      <c r="E113" s="25" t="n">
        <v>95</v>
      </c>
      <c r="F113" s="5" t="s">
        <v>918</v>
      </c>
      <c r="G113" s="26"/>
    </row>
    <row r="114" customFormat="false" ht="15" hidden="false" customHeight="false" outlineLevel="0" collapsed="false">
      <c r="A114" s="5" t="s">
        <v>595</v>
      </c>
      <c r="B114" s="5" t="s">
        <v>1040</v>
      </c>
      <c r="C114" s="5" t="s">
        <v>594</v>
      </c>
      <c r="D114" s="5" t="s">
        <v>256</v>
      </c>
      <c r="E114" s="25" t="n">
        <v>42</v>
      </c>
      <c r="F114" s="5" t="s">
        <v>918</v>
      </c>
      <c r="G114" s="26"/>
    </row>
    <row r="115" customFormat="false" ht="15" hidden="false" customHeight="false" outlineLevel="0" collapsed="false">
      <c r="A115" s="5" t="s">
        <v>618</v>
      </c>
      <c r="B115" s="5" t="s">
        <v>1032</v>
      </c>
      <c r="C115" s="5" t="s">
        <v>617</v>
      </c>
      <c r="D115" s="5" t="s">
        <v>256</v>
      </c>
      <c r="E115" s="25" t="n">
        <v>14</v>
      </c>
      <c r="F115" s="5" t="s">
        <v>918</v>
      </c>
      <c r="G115" s="26"/>
    </row>
    <row r="116" customFormat="false" ht="15" hidden="false" customHeight="false" outlineLevel="0" collapsed="false">
      <c r="A116" s="5" t="s">
        <v>624</v>
      </c>
      <c r="B116" s="5" t="s">
        <v>1051</v>
      </c>
      <c r="C116" s="5" t="s">
        <v>1052</v>
      </c>
      <c r="D116" s="5" t="s">
        <v>256</v>
      </c>
      <c r="E116" s="25" t="n">
        <v>118</v>
      </c>
      <c r="F116" s="5" t="s">
        <v>918</v>
      </c>
      <c r="G116" s="26"/>
    </row>
    <row r="117" customFormat="false" ht="15" hidden="false" customHeight="false" outlineLevel="0" collapsed="false">
      <c r="A117" s="5" t="s">
        <v>628</v>
      </c>
      <c r="B117" s="5" t="s">
        <v>1051</v>
      </c>
      <c r="C117" s="5" t="s">
        <v>1053</v>
      </c>
      <c r="D117" s="5" t="s">
        <v>256</v>
      </c>
      <c r="E117" s="25" t="n">
        <v>240</v>
      </c>
      <c r="F117" s="5" t="s">
        <v>918</v>
      </c>
      <c r="G117" s="26"/>
    </row>
    <row r="118" customFormat="false" ht="15" hidden="false" customHeight="false" outlineLevel="0" collapsed="false">
      <c r="A118" s="5" t="s">
        <v>631</v>
      </c>
      <c r="B118" s="5" t="s">
        <v>1051</v>
      </c>
      <c r="C118" s="5" t="s">
        <v>1054</v>
      </c>
      <c r="D118" s="5" t="s">
        <v>256</v>
      </c>
      <c r="E118" s="25" t="n">
        <v>52</v>
      </c>
      <c r="F118" s="5" t="s">
        <v>918</v>
      </c>
      <c r="G118" s="26"/>
    </row>
    <row r="119" customFormat="false" ht="15" hidden="false" customHeight="false" outlineLevel="0" collapsed="false">
      <c r="A119" s="5" t="s">
        <v>634</v>
      </c>
      <c r="B119" s="5" t="s">
        <v>1051</v>
      </c>
      <c r="C119" s="5" t="s">
        <v>1055</v>
      </c>
      <c r="D119" s="5" t="s">
        <v>256</v>
      </c>
      <c r="E119" s="25" t="n">
        <v>38</v>
      </c>
      <c r="F119" s="5" t="s">
        <v>918</v>
      </c>
      <c r="G119" s="26"/>
    </row>
    <row r="120" customFormat="false" ht="15" hidden="false" customHeight="false" outlineLevel="0" collapsed="false">
      <c r="A120" s="5" t="s">
        <v>637</v>
      </c>
      <c r="B120" s="5" t="s">
        <v>1051</v>
      </c>
      <c r="C120" s="5" t="s">
        <v>1056</v>
      </c>
      <c r="D120" s="5" t="s">
        <v>256</v>
      </c>
      <c r="E120" s="25" t="n">
        <v>185</v>
      </c>
      <c r="F120" s="5" t="s">
        <v>918</v>
      </c>
      <c r="G120" s="26"/>
    </row>
    <row r="121" customFormat="false" ht="15" hidden="false" customHeight="false" outlineLevel="0" collapsed="false">
      <c r="A121" s="5" t="s">
        <v>640</v>
      </c>
      <c r="B121" s="5" t="s">
        <v>1051</v>
      </c>
      <c r="C121" s="5" t="s">
        <v>1057</v>
      </c>
      <c r="D121" s="5" t="s">
        <v>256</v>
      </c>
      <c r="E121" s="25" t="n">
        <v>118</v>
      </c>
      <c r="F121" s="5" t="s">
        <v>918</v>
      </c>
      <c r="G121" s="26"/>
    </row>
    <row r="122" customFormat="false" ht="15" hidden="false" customHeight="false" outlineLevel="0" collapsed="false">
      <c r="A122" s="5" t="s">
        <v>643</v>
      </c>
      <c r="B122" s="5" t="s">
        <v>1051</v>
      </c>
      <c r="C122" s="5" t="s">
        <v>1058</v>
      </c>
      <c r="D122" s="5" t="s">
        <v>256</v>
      </c>
      <c r="E122" s="25" t="n">
        <v>36</v>
      </c>
      <c r="F122" s="5" t="s">
        <v>918</v>
      </c>
      <c r="G122" s="26"/>
    </row>
    <row r="123" customFormat="false" ht="15" hidden="false" customHeight="false" outlineLevel="0" collapsed="false">
      <c r="A123" s="5" t="s">
        <v>646</v>
      </c>
      <c r="B123" s="5" t="s">
        <v>1051</v>
      </c>
      <c r="C123" s="5" t="s">
        <v>1059</v>
      </c>
      <c r="D123" s="5" t="s">
        <v>256</v>
      </c>
      <c r="E123" s="25" t="n">
        <v>24</v>
      </c>
      <c r="F123" s="5" t="s">
        <v>918</v>
      </c>
      <c r="G123" s="26"/>
    </row>
    <row r="124" customFormat="false" ht="15" hidden="false" customHeight="false" outlineLevel="0" collapsed="false">
      <c r="A124" s="5" t="s">
        <v>649</v>
      </c>
      <c r="B124" s="5" t="s">
        <v>1051</v>
      </c>
      <c r="C124" s="5" t="s">
        <v>1060</v>
      </c>
      <c r="D124" s="5" t="s">
        <v>96</v>
      </c>
      <c r="E124" s="25" t="n">
        <v>950</v>
      </c>
      <c r="F124" s="5" t="s">
        <v>918</v>
      </c>
      <c r="G124" s="26"/>
    </row>
    <row r="125" customFormat="false" ht="15" hidden="false" customHeight="false" outlineLevel="0" collapsed="false">
      <c r="A125" s="5" t="s">
        <v>652</v>
      </c>
      <c r="B125" s="5" t="s">
        <v>1051</v>
      </c>
      <c r="C125" s="5" t="s">
        <v>651</v>
      </c>
      <c r="D125" s="5" t="s">
        <v>96</v>
      </c>
      <c r="E125" s="25" t="n">
        <v>1450</v>
      </c>
      <c r="F125" s="5" t="s">
        <v>918</v>
      </c>
      <c r="G125" s="26"/>
    </row>
    <row r="126" customFormat="false" ht="15" hidden="false" customHeight="false" outlineLevel="0" collapsed="false">
      <c r="A126" s="5" t="s">
        <v>655</v>
      </c>
      <c r="B126" s="5" t="s">
        <v>1051</v>
      </c>
      <c r="C126" s="5" t="s">
        <v>654</v>
      </c>
      <c r="D126" s="5" t="s">
        <v>96</v>
      </c>
      <c r="E126" s="25" t="n">
        <v>180</v>
      </c>
      <c r="F126" s="5" t="s">
        <v>918</v>
      </c>
      <c r="G126" s="26"/>
    </row>
    <row r="127" customFormat="false" ht="15" hidden="false" customHeight="false" outlineLevel="0" collapsed="false">
      <c r="A127" s="5" t="s">
        <v>658</v>
      </c>
      <c r="B127" s="5" t="s">
        <v>1051</v>
      </c>
      <c r="C127" s="5" t="s">
        <v>1061</v>
      </c>
      <c r="D127" s="5" t="s">
        <v>96</v>
      </c>
      <c r="E127" s="25" t="n">
        <v>420</v>
      </c>
      <c r="F127" s="5" t="s">
        <v>918</v>
      </c>
      <c r="G127" s="26"/>
    </row>
    <row r="128" customFormat="false" ht="15" hidden="false" customHeight="false" outlineLevel="0" collapsed="false">
      <c r="A128" s="5" t="s">
        <v>663</v>
      </c>
      <c r="B128" s="5" t="s">
        <v>1062</v>
      </c>
      <c r="C128" s="5" t="s">
        <v>1063</v>
      </c>
      <c r="D128" s="5" t="s">
        <v>96</v>
      </c>
      <c r="E128" s="25" t="n">
        <v>2100</v>
      </c>
      <c r="F128" s="5" t="s">
        <v>918</v>
      </c>
      <c r="G128" s="26" t="s">
        <v>1044</v>
      </c>
    </row>
    <row r="129" customFormat="false" ht="15" hidden="false" customHeight="false" outlineLevel="0" collapsed="false">
      <c r="A129" s="5" t="s">
        <v>666</v>
      </c>
      <c r="B129" s="5" t="s">
        <v>1062</v>
      </c>
      <c r="C129" s="5" t="s">
        <v>1064</v>
      </c>
      <c r="D129" s="5" t="s">
        <v>96</v>
      </c>
      <c r="E129" s="25" t="n">
        <v>950</v>
      </c>
      <c r="F129" s="5" t="s">
        <v>918</v>
      </c>
      <c r="G129" s="26" t="s">
        <v>1044</v>
      </c>
    </row>
    <row r="130" customFormat="false" ht="15" hidden="false" customHeight="false" outlineLevel="0" collapsed="false">
      <c r="A130" s="5" t="s">
        <v>667</v>
      </c>
      <c r="B130" s="5" t="s">
        <v>1062</v>
      </c>
      <c r="C130" s="5" t="s">
        <v>1065</v>
      </c>
      <c r="D130" s="5" t="s">
        <v>96</v>
      </c>
      <c r="E130" s="25" t="n">
        <v>650</v>
      </c>
      <c r="F130" s="5" t="s">
        <v>918</v>
      </c>
      <c r="G130" s="26"/>
    </row>
    <row r="131" customFormat="false" ht="15" hidden="false" customHeight="false" outlineLevel="0" collapsed="false">
      <c r="A131" s="5" t="s">
        <v>670</v>
      </c>
      <c r="B131" s="5" t="s">
        <v>1062</v>
      </c>
      <c r="C131" s="5" t="s">
        <v>1066</v>
      </c>
      <c r="D131" s="5" t="s">
        <v>96</v>
      </c>
      <c r="E131" s="25" t="n">
        <v>2400</v>
      </c>
      <c r="F131" s="5" t="s">
        <v>918</v>
      </c>
      <c r="G131" s="26" t="s">
        <v>1044</v>
      </c>
    </row>
    <row r="132" customFormat="false" ht="15" hidden="false" customHeight="false" outlineLevel="0" collapsed="false">
      <c r="A132" s="5" t="s">
        <v>671</v>
      </c>
      <c r="B132" s="5" t="s">
        <v>1062</v>
      </c>
      <c r="C132" s="5" t="s">
        <v>1067</v>
      </c>
      <c r="D132" s="5" t="s">
        <v>96</v>
      </c>
      <c r="E132" s="25" t="n">
        <v>1450</v>
      </c>
      <c r="F132" s="5" t="s">
        <v>918</v>
      </c>
      <c r="G132" s="26"/>
    </row>
    <row r="133" customFormat="false" ht="15" hidden="false" customHeight="false" outlineLevel="0" collapsed="false">
      <c r="A133" s="5" t="s">
        <v>674</v>
      </c>
      <c r="B133" s="5" t="s">
        <v>1062</v>
      </c>
      <c r="C133" s="5" t="s">
        <v>1068</v>
      </c>
      <c r="D133" s="5" t="s">
        <v>96</v>
      </c>
      <c r="E133" s="25" t="n">
        <v>1900</v>
      </c>
      <c r="F133" s="5" t="s">
        <v>918</v>
      </c>
      <c r="G133" s="26"/>
    </row>
    <row r="134" customFormat="false" ht="15" hidden="false" customHeight="false" outlineLevel="0" collapsed="false">
      <c r="A134" s="5" t="s">
        <v>677</v>
      </c>
      <c r="B134" s="5" t="s">
        <v>1062</v>
      </c>
      <c r="C134" s="5" t="s">
        <v>1069</v>
      </c>
      <c r="D134" s="5" t="s">
        <v>96</v>
      </c>
      <c r="E134" s="25" t="n">
        <v>7500</v>
      </c>
      <c r="F134" s="5" t="s">
        <v>918</v>
      </c>
      <c r="G134" s="26"/>
    </row>
    <row r="135" customFormat="false" ht="15" hidden="false" customHeight="false" outlineLevel="0" collapsed="false">
      <c r="A135" s="5" t="s">
        <v>680</v>
      </c>
      <c r="B135" s="5" t="s">
        <v>1062</v>
      </c>
      <c r="C135" s="5" t="s">
        <v>1070</v>
      </c>
      <c r="D135" s="5" t="s">
        <v>96</v>
      </c>
      <c r="E135" s="25" t="n">
        <v>1350</v>
      </c>
      <c r="F135" s="5" t="s">
        <v>918</v>
      </c>
      <c r="G135" s="26"/>
    </row>
    <row r="136" customFormat="false" ht="15" hidden="false" customHeight="false" outlineLevel="0" collapsed="false">
      <c r="A136" s="5" t="s">
        <v>681</v>
      </c>
      <c r="B136" s="5" t="s">
        <v>1062</v>
      </c>
      <c r="C136" s="5" t="s">
        <v>1071</v>
      </c>
      <c r="D136" s="5" t="s">
        <v>96</v>
      </c>
      <c r="E136" s="25" t="n">
        <v>780</v>
      </c>
      <c r="F136" s="5" t="s">
        <v>918</v>
      </c>
      <c r="G136" s="26"/>
    </row>
    <row r="137" customFormat="false" ht="15" hidden="false" customHeight="false" outlineLevel="0" collapsed="false">
      <c r="A137" s="5" t="s">
        <v>684</v>
      </c>
      <c r="B137" s="5" t="s">
        <v>1072</v>
      </c>
      <c r="C137" s="5" t="s">
        <v>1073</v>
      </c>
      <c r="D137" s="5" t="s">
        <v>96</v>
      </c>
      <c r="E137" s="25" t="n">
        <v>6600</v>
      </c>
      <c r="F137" s="5" t="s">
        <v>918</v>
      </c>
      <c r="G137" s="26"/>
    </row>
    <row r="138" customFormat="false" ht="15" hidden="false" customHeight="false" outlineLevel="0" collapsed="false">
      <c r="A138" s="5" t="s">
        <v>688</v>
      </c>
      <c r="B138" s="5" t="s">
        <v>1072</v>
      </c>
      <c r="C138" s="5" t="s">
        <v>1074</v>
      </c>
      <c r="D138" s="5" t="s">
        <v>96</v>
      </c>
      <c r="E138" s="25" t="n">
        <v>8300</v>
      </c>
      <c r="F138" s="5" t="s">
        <v>918</v>
      </c>
      <c r="G138" s="26"/>
    </row>
    <row r="139" customFormat="false" ht="15" hidden="false" customHeight="false" outlineLevel="0" collapsed="false">
      <c r="A139" s="5" t="s">
        <v>685</v>
      </c>
      <c r="B139" s="5" t="s">
        <v>1072</v>
      </c>
      <c r="C139" s="5" t="s">
        <v>1075</v>
      </c>
      <c r="D139" s="5" t="s">
        <v>96</v>
      </c>
      <c r="E139" s="25" t="n">
        <v>1650</v>
      </c>
      <c r="F139" s="5" t="s">
        <v>918</v>
      </c>
      <c r="G139" s="26"/>
    </row>
    <row r="140" customFormat="false" ht="15" hidden="false" customHeight="false" outlineLevel="0" collapsed="false">
      <c r="A140" s="5" t="s">
        <v>691</v>
      </c>
      <c r="B140" s="5" t="s">
        <v>1072</v>
      </c>
      <c r="C140" s="5" t="s">
        <v>690</v>
      </c>
      <c r="D140" s="5" t="s">
        <v>96</v>
      </c>
      <c r="E140" s="25" t="n">
        <v>26000</v>
      </c>
      <c r="F140" s="5" t="s">
        <v>918</v>
      </c>
      <c r="G140" s="26"/>
    </row>
    <row r="141" customFormat="false" ht="15" hidden="false" customHeight="false" outlineLevel="0" collapsed="false">
      <c r="A141" s="5" t="s">
        <v>694</v>
      </c>
      <c r="B141" s="5" t="s">
        <v>1072</v>
      </c>
      <c r="C141" s="5" t="s">
        <v>1076</v>
      </c>
      <c r="D141" s="5" t="s">
        <v>96</v>
      </c>
      <c r="E141" s="25" t="n">
        <v>32000</v>
      </c>
      <c r="F141" s="5" t="s">
        <v>918</v>
      </c>
      <c r="G141" s="26"/>
    </row>
    <row r="142" customFormat="false" ht="15" hidden="false" customHeight="false" outlineLevel="0" collapsed="false">
      <c r="A142" s="5" t="s">
        <v>697</v>
      </c>
      <c r="B142" s="5" t="s">
        <v>1051</v>
      </c>
      <c r="C142" s="5" t="s">
        <v>1077</v>
      </c>
      <c r="D142" s="5" t="s">
        <v>96</v>
      </c>
      <c r="E142" s="25" t="n">
        <v>7800</v>
      </c>
      <c r="F142" s="5" t="s">
        <v>918</v>
      </c>
      <c r="G142" s="26"/>
    </row>
    <row r="143" customFormat="false" ht="15" hidden="false" customHeight="false" outlineLevel="0" collapsed="false">
      <c r="A143" s="5" t="s">
        <v>700</v>
      </c>
      <c r="B143" s="5" t="s">
        <v>1051</v>
      </c>
      <c r="C143" s="5" t="s">
        <v>1078</v>
      </c>
      <c r="D143" s="5" t="s">
        <v>96</v>
      </c>
      <c r="E143" s="25" t="n">
        <v>120</v>
      </c>
      <c r="F143" s="5" t="s">
        <v>918</v>
      </c>
      <c r="G143" s="26"/>
    </row>
    <row r="144" customFormat="false" ht="15" hidden="false" customHeight="false" outlineLevel="0" collapsed="false">
      <c r="A144" s="5" t="s">
        <v>703</v>
      </c>
      <c r="B144" s="5" t="s">
        <v>1051</v>
      </c>
      <c r="C144" s="5" t="s">
        <v>702</v>
      </c>
      <c r="D144" s="5" t="s">
        <v>96</v>
      </c>
      <c r="E144" s="25" t="n">
        <v>190</v>
      </c>
      <c r="F144" s="5" t="s">
        <v>918</v>
      </c>
      <c r="G144" s="26"/>
    </row>
    <row r="145" customFormat="false" ht="15" hidden="false" customHeight="false" outlineLevel="0" collapsed="false">
      <c r="A145" s="5" t="s">
        <v>706</v>
      </c>
      <c r="B145" s="5" t="s">
        <v>1051</v>
      </c>
      <c r="C145" s="5" t="s">
        <v>1079</v>
      </c>
      <c r="D145" s="5" t="s">
        <v>96</v>
      </c>
      <c r="E145" s="25" t="n">
        <v>9500</v>
      </c>
      <c r="F145" s="5" t="s">
        <v>918</v>
      </c>
      <c r="G145" s="26"/>
    </row>
    <row r="146" customFormat="false" ht="15" hidden="false" customHeight="false" outlineLevel="0" collapsed="false">
      <c r="A146" s="5" t="s">
        <v>711</v>
      </c>
      <c r="B146" s="5" t="s">
        <v>1051</v>
      </c>
      <c r="C146" s="5" t="s">
        <v>710</v>
      </c>
      <c r="D146" s="5" t="s">
        <v>96</v>
      </c>
      <c r="E146" s="25" t="n">
        <v>650</v>
      </c>
      <c r="F146" s="5" t="s">
        <v>918</v>
      </c>
      <c r="G146" s="26"/>
    </row>
    <row r="147" customFormat="false" ht="15" hidden="false" customHeight="false" outlineLevel="0" collapsed="false">
      <c r="A147" s="5" t="s">
        <v>716</v>
      </c>
      <c r="B147" s="5" t="s">
        <v>1080</v>
      </c>
      <c r="C147" s="5" t="s">
        <v>1081</v>
      </c>
      <c r="D147" s="5" t="s">
        <v>96</v>
      </c>
      <c r="E147" s="25" t="n">
        <v>185</v>
      </c>
      <c r="F147" s="5" t="s">
        <v>918</v>
      </c>
      <c r="G147" s="26"/>
    </row>
    <row r="148" customFormat="false" ht="15" hidden="false" customHeight="false" outlineLevel="0" collapsed="false">
      <c r="A148" s="5" t="s">
        <v>725</v>
      </c>
      <c r="B148" s="5" t="s">
        <v>1080</v>
      </c>
      <c r="C148" s="5" t="s">
        <v>1082</v>
      </c>
      <c r="D148" s="5" t="s">
        <v>96</v>
      </c>
      <c r="E148" s="25" t="n">
        <v>245</v>
      </c>
      <c r="F148" s="5" t="s">
        <v>918</v>
      </c>
      <c r="G148" s="26"/>
    </row>
    <row r="149" customFormat="false" ht="15" hidden="false" customHeight="false" outlineLevel="0" collapsed="false">
      <c r="A149" s="5" t="s">
        <v>728</v>
      </c>
      <c r="B149" s="5" t="s">
        <v>1080</v>
      </c>
      <c r="C149" s="5" t="s">
        <v>1083</v>
      </c>
      <c r="D149" s="5" t="s">
        <v>96</v>
      </c>
      <c r="E149" s="25" t="n">
        <v>950</v>
      </c>
      <c r="F149" s="5" t="s">
        <v>918</v>
      </c>
      <c r="G149" s="26"/>
    </row>
    <row r="150" customFormat="false" ht="15" hidden="false" customHeight="false" outlineLevel="0" collapsed="false">
      <c r="A150" s="5" t="s">
        <v>731</v>
      </c>
      <c r="B150" s="5" t="s">
        <v>1080</v>
      </c>
      <c r="C150" s="5" t="s">
        <v>1084</v>
      </c>
      <c r="D150" s="5" t="s">
        <v>96</v>
      </c>
      <c r="E150" s="25" t="n">
        <v>1050</v>
      </c>
      <c r="F150" s="5" t="s">
        <v>918</v>
      </c>
      <c r="G150" s="26"/>
    </row>
    <row r="151" customFormat="false" ht="15" hidden="false" customHeight="false" outlineLevel="0" collapsed="false">
      <c r="A151" s="5" t="s">
        <v>734</v>
      </c>
      <c r="B151" s="5" t="s">
        <v>1080</v>
      </c>
      <c r="C151" s="5" t="s">
        <v>1085</v>
      </c>
      <c r="D151" s="5" t="s">
        <v>96</v>
      </c>
      <c r="E151" s="25" t="n">
        <v>3200</v>
      </c>
      <c r="F151" s="5" t="s">
        <v>918</v>
      </c>
      <c r="G151" s="26"/>
    </row>
    <row r="152" customFormat="false" ht="15" hidden="false" customHeight="false" outlineLevel="0" collapsed="false">
      <c r="A152" s="5" t="s">
        <v>737</v>
      </c>
      <c r="B152" s="5" t="s">
        <v>1080</v>
      </c>
      <c r="C152" s="5" t="s">
        <v>736</v>
      </c>
      <c r="D152" s="5" t="s">
        <v>96</v>
      </c>
      <c r="E152" s="25" t="n">
        <v>5600</v>
      </c>
      <c r="F152" s="5" t="s">
        <v>918</v>
      </c>
      <c r="G152" s="26"/>
    </row>
    <row r="153" customFormat="false" ht="15" hidden="false" customHeight="false" outlineLevel="0" collapsed="false">
      <c r="A153" s="5" t="s">
        <v>740</v>
      </c>
      <c r="B153" s="5" t="s">
        <v>1080</v>
      </c>
      <c r="C153" s="5" t="s">
        <v>1086</v>
      </c>
      <c r="D153" s="5" t="s">
        <v>256</v>
      </c>
      <c r="E153" s="25" t="n">
        <v>185</v>
      </c>
      <c r="F153" s="5" t="s">
        <v>918</v>
      </c>
      <c r="G153" s="26"/>
    </row>
    <row r="154" customFormat="false" ht="15" hidden="false" customHeight="false" outlineLevel="0" collapsed="false">
      <c r="A154" s="5" t="s">
        <v>745</v>
      </c>
      <c r="B154" s="5" t="s">
        <v>1080</v>
      </c>
      <c r="C154" s="5" t="s">
        <v>1087</v>
      </c>
      <c r="D154" s="5" t="s">
        <v>96</v>
      </c>
      <c r="E154" s="25" t="n">
        <v>450</v>
      </c>
      <c r="F154" s="5" t="s">
        <v>918</v>
      </c>
      <c r="G154" s="26"/>
    </row>
    <row r="155" customFormat="false" ht="15" hidden="false" customHeight="false" outlineLevel="0" collapsed="false">
      <c r="A155" s="5" t="s">
        <v>748</v>
      </c>
      <c r="B155" s="5" t="s">
        <v>1080</v>
      </c>
      <c r="C155" s="5" t="s">
        <v>1088</v>
      </c>
      <c r="D155" s="5" t="s">
        <v>96</v>
      </c>
      <c r="E155" s="25" t="n">
        <v>380</v>
      </c>
      <c r="F155" s="5" t="s">
        <v>918</v>
      </c>
      <c r="G155" s="26"/>
    </row>
    <row r="156" customFormat="false" ht="15" hidden="false" customHeight="false" outlineLevel="0" collapsed="false">
      <c r="A156" s="5" t="s">
        <v>751</v>
      </c>
      <c r="B156" s="5" t="s">
        <v>1080</v>
      </c>
      <c r="C156" s="5" t="s">
        <v>1089</v>
      </c>
      <c r="D156" s="5" t="s">
        <v>96</v>
      </c>
      <c r="E156" s="25" t="n">
        <v>220</v>
      </c>
      <c r="F156" s="5" t="s">
        <v>918</v>
      </c>
      <c r="G156" s="26"/>
    </row>
    <row r="157" customFormat="false" ht="15" hidden="false" customHeight="false" outlineLevel="0" collapsed="false">
      <c r="A157" s="5" t="s">
        <v>754</v>
      </c>
      <c r="B157" s="5" t="s">
        <v>1080</v>
      </c>
      <c r="C157" s="5" t="s">
        <v>1090</v>
      </c>
      <c r="D157" s="5" t="s">
        <v>96</v>
      </c>
      <c r="E157" s="25" t="n">
        <v>750</v>
      </c>
      <c r="F157" s="5" t="s">
        <v>918</v>
      </c>
      <c r="G157" s="26"/>
    </row>
    <row r="158" customFormat="false" ht="15" hidden="false" customHeight="false" outlineLevel="0" collapsed="false">
      <c r="A158" s="5" t="s">
        <v>719</v>
      </c>
      <c r="B158" s="5" t="s">
        <v>1080</v>
      </c>
      <c r="C158" s="5" t="s">
        <v>1091</v>
      </c>
      <c r="D158" s="5" t="s">
        <v>96</v>
      </c>
      <c r="E158" s="25" t="n">
        <v>85</v>
      </c>
      <c r="F158" s="5" t="s">
        <v>918</v>
      </c>
      <c r="G158" s="26"/>
    </row>
    <row r="159" customFormat="false" ht="15" hidden="false" customHeight="false" outlineLevel="0" collapsed="false">
      <c r="A159" s="5" t="s">
        <v>722</v>
      </c>
      <c r="B159" s="5" t="s">
        <v>1080</v>
      </c>
      <c r="C159" s="5" t="s">
        <v>1092</v>
      </c>
      <c r="D159" s="5" t="s">
        <v>96</v>
      </c>
      <c r="E159" s="25" t="n">
        <v>260</v>
      </c>
      <c r="F159" s="5" t="s">
        <v>918</v>
      </c>
      <c r="G159" s="26"/>
    </row>
    <row r="160" customFormat="false" ht="15" hidden="false" customHeight="false" outlineLevel="0" collapsed="false">
      <c r="A160" s="5" t="s">
        <v>762</v>
      </c>
      <c r="B160" s="5" t="s">
        <v>1080</v>
      </c>
      <c r="C160" s="5" t="s">
        <v>761</v>
      </c>
      <c r="D160" s="5" t="s">
        <v>96</v>
      </c>
      <c r="E160" s="25" t="n">
        <v>220</v>
      </c>
      <c r="F160" s="5" t="s">
        <v>918</v>
      </c>
      <c r="G160" s="26"/>
    </row>
    <row r="161" customFormat="false" ht="15" hidden="false" customHeight="false" outlineLevel="0" collapsed="false">
      <c r="A161" s="5" t="s">
        <v>759</v>
      </c>
      <c r="B161" s="5" t="s">
        <v>1080</v>
      </c>
      <c r="C161" s="5" t="s">
        <v>1093</v>
      </c>
      <c r="D161" s="5" t="s">
        <v>96</v>
      </c>
      <c r="E161" s="25" t="n">
        <v>115000</v>
      </c>
      <c r="F161" s="5" t="s">
        <v>918</v>
      </c>
      <c r="G161" s="26"/>
    </row>
    <row r="162" customFormat="false" ht="15" hidden="false" customHeight="false" outlineLevel="0" collapsed="false">
      <c r="A162" s="5" t="s">
        <v>765</v>
      </c>
      <c r="B162" s="5" t="s">
        <v>1094</v>
      </c>
      <c r="C162" s="5" t="s">
        <v>1095</v>
      </c>
      <c r="D162" s="5" t="s">
        <v>96</v>
      </c>
      <c r="E162" s="25" t="n">
        <v>14500</v>
      </c>
      <c r="F162" s="5" t="s">
        <v>918</v>
      </c>
      <c r="G162" s="26" t="s">
        <v>1096</v>
      </c>
    </row>
    <row r="163" customFormat="false" ht="15" hidden="false" customHeight="false" outlineLevel="0" collapsed="false">
      <c r="A163" s="5" t="s">
        <v>768</v>
      </c>
      <c r="B163" s="5" t="s">
        <v>1094</v>
      </c>
      <c r="C163" s="5" t="s">
        <v>1097</v>
      </c>
      <c r="D163" s="5" t="s">
        <v>96</v>
      </c>
      <c r="E163" s="25" t="n">
        <v>19500</v>
      </c>
      <c r="F163" s="5" t="s">
        <v>918</v>
      </c>
      <c r="G163" s="26"/>
    </row>
    <row r="164" customFormat="false" ht="15" hidden="false" customHeight="false" outlineLevel="0" collapsed="false">
      <c r="A164" s="5" t="s">
        <v>771</v>
      </c>
      <c r="B164" s="5" t="s">
        <v>1094</v>
      </c>
      <c r="C164" s="5" t="s">
        <v>1098</v>
      </c>
      <c r="D164" s="5" t="s">
        <v>96</v>
      </c>
      <c r="E164" s="25" t="n">
        <v>26500</v>
      </c>
      <c r="F164" s="5" t="s">
        <v>918</v>
      </c>
      <c r="G164" s="26"/>
    </row>
    <row r="165" customFormat="false" ht="15" hidden="false" customHeight="false" outlineLevel="0" collapsed="false">
      <c r="A165" s="5" t="s">
        <v>774</v>
      </c>
      <c r="B165" s="5" t="s">
        <v>1099</v>
      </c>
      <c r="C165" s="5" t="s">
        <v>1100</v>
      </c>
      <c r="D165" s="5" t="s">
        <v>256</v>
      </c>
      <c r="E165" s="25" t="n">
        <v>280</v>
      </c>
      <c r="F165" s="5" t="s">
        <v>918</v>
      </c>
      <c r="G165" s="26"/>
    </row>
    <row r="166" customFormat="false" ht="15" hidden="false" customHeight="false" outlineLevel="0" collapsed="false">
      <c r="A166" s="5" t="s">
        <v>777</v>
      </c>
      <c r="B166" s="5" t="s">
        <v>1099</v>
      </c>
      <c r="C166" s="5" t="s">
        <v>1101</v>
      </c>
      <c r="D166" s="5" t="s">
        <v>96</v>
      </c>
      <c r="E166" s="25" t="n">
        <v>11500</v>
      </c>
      <c r="F166" s="5" t="s">
        <v>918</v>
      </c>
      <c r="G166" s="26"/>
    </row>
    <row r="167" customFormat="false" ht="15" hidden="false" customHeight="false" outlineLevel="0" collapsed="false">
      <c r="A167" s="5" t="s">
        <v>780</v>
      </c>
      <c r="B167" s="5" t="s">
        <v>1099</v>
      </c>
      <c r="C167" s="5" t="s">
        <v>1102</v>
      </c>
      <c r="D167" s="5" t="s">
        <v>96</v>
      </c>
      <c r="E167" s="25" t="n">
        <v>7500</v>
      </c>
      <c r="F167" s="5" t="s">
        <v>918</v>
      </c>
      <c r="G167" s="26"/>
    </row>
    <row r="168" customFormat="false" ht="15" hidden="false" customHeight="false" outlineLevel="0" collapsed="false">
      <c r="A168" s="5" t="s">
        <v>784</v>
      </c>
      <c r="B168" s="5" t="s">
        <v>1103</v>
      </c>
      <c r="C168" s="5" t="s">
        <v>1104</v>
      </c>
      <c r="D168" s="5" t="s">
        <v>259</v>
      </c>
      <c r="E168" s="25" t="n">
        <v>41000</v>
      </c>
      <c r="F168" s="5" t="s">
        <v>918</v>
      </c>
      <c r="G168" s="26"/>
    </row>
    <row r="169" customFormat="false" ht="15" hidden="false" customHeight="false" outlineLevel="0" collapsed="false">
      <c r="A169" s="5" t="s">
        <v>790</v>
      </c>
      <c r="B169" s="5" t="s">
        <v>1103</v>
      </c>
      <c r="C169" s="5" t="s">
        <v>1105</v>
      </c>
      <c r="D169" s="5" t="s">
        <v>259</v>
      </c>
      <c r="E169" s="25" t="n">
        <v>6500</v>
      </c>
      <c r="F169" s="5" t="s">
        <v>918</v>
      </c>
      <c r="G169" s="26"/>
    </row>
    <row r="170" customFormat="false" ht="15" hidden="false" customHeight="false" outlineLevel="0" collapsed="false">
      <c r="A170" s="5" t="s">
        <v>793</v>
      </c>
      <c r="B170" s="5" t="s">
        <v>1103</v>
      </c>
      <c r="C170" s="5" t="s">
        <v>1106</v>
      </c>
      <c r="D170" s="5" t="s">
        <v>96</v>
      </c>
      <c r="E170" s="25" t="n">
        <v>180</v>
      </c>
      <c r="F170" s="5" t="s">
        <v>918</v>
      </c>
      <c r="G170" s="26"/>
    </row>
    <row r="171" customFormat="false" ht="15" hidden="false" customHeight="false" outlineLevel="0" collapsed="false">
      <c r="A171" s="5" t="s">
        <v>796</v>
      </c>
      <c r="B171" s="5" t="s">
        <v>1107</v>
      </c>
      <c r="C171" s="5" t="s">
        <v>1108</v>
      </c>
      <c r="D171" s="5" t="s">
        <v>256</v>
      </c>
      <c r="E171" s="25" t="n">
        <v>1450</v>
      </c>
      <c r="F171" s="5" t="s">
        <v>918</v>
      </c>
      <c r="G171" s="26"/>
    </row>
    <row r="172" customFormat="false" ht="15" hidden="false" customHeight="false" outlineLevel="0" collapsed="false">
      <c r="A172" s="5" t="s">
        <v>799</v>
      </c>
      <c r="B172" s="5" t="s">
        <v>1107</v>
      </c>
      <c r="C172" s="5" t="s">
        <v>798</v>
      </c>
      <c r="D172" s="5" t="s">
        <v>256</v>
      </c>
      <c r="E172" s="25" t="n">
        <v>6800</v>
      </c>
      <c r="F172" s="5" t="s">
        <v>918</v>
      </c>
      <c r="G172" s="26"/>
    </row>
    <row r="173" customFormat="false" ht="15" hidden="false" customHeight="false" outlineLevel="0" collapsed="false">
      <c r="A173" s="5" t="s">
        <v>802</v>
      </c>
      <c r="B173" s="5" t="s">
        <v>1107</v>
      </c>
      <c r="C173" s="5" t="s">
        <v>1109</v>
      </c>
      <c r="D173" s="5" t="s">
        <v>108</v>
      </c>
      <c r="E173" s="25" t="n">
        <v>180</v>
      </c>
      <c r="F173" s="5" t="s">
        <v>918</v>
      </c>
      <c r="G173" s="26"/>
    </row>
    <row r="174" customFormat="false" ht="15" hidden="false" customHeight="false" outlineLevel="0" collapsed="false">
      <c r="A174" s="5" t="s">
        <v>806</v>
      </c>
      <c r="B174" s="5" t="s">
        <v>1110</v>
      </c>
      <c r="C174" s="5" t="s">
        <v>1111</v>
      </c>
      <c r="D174" s="5" t="s">
        <v>1112</v>
      </c>
      <c r="E174" s="25" t="n">
        <v>55</v>
      </c>
      <c r="F174" s="5" t="s">
        <v>914</v>
      </c>
      <c r="G174" s="26" t="s">
        <v>1113</v>
      </c>
    </row>
    <row r="175" customFormat="false" ht="15" hidden="false" customHeight="false" outlineLevel="0" collapsed="false">
      <c r="A175" s="5" t="s">
        <v>807</v>
      </c>
      <c r="B175" s="5" t="s">
        <v>1110</v>
      </c>
      <c r="C175" s="5" t="s">
        <v>1114</v>
      </c>
      <c r="D175" s="5" t="s">
        <v>1112</v>
      </c>
      <c r="E175" s="25" t="n">
        <v>52</v>
      </c>
      <c r="F175" s="5" t="s">
        <v>914</v>
      </c>
      <c r="G175" s="26"/>
    </row>
    <row r="176" customFormat="false" ht="15" hidden="false" customHeight="false" outlineLevel="0" collapsed="false">
      <c r="A176" s="5" t="s">
        <v>812</v>
      </c>
      <c r="B176" s="5" t="s">
        <v>1110</v>
      </c>
      <c r="C176" s="5" t="s">
        <v>1115</v>
      </c>
      <c r="D176" s="5" t="s">
        <v>1112</v>
      </c>
      <c r="E176" s="25" t="n">
        <v>80</v>
      </c>
      <c r="F176" s="5" t="s">
        <v>914</v>
      </c>
      <c r="G176" s="26"/>
    </row>
    <row r="177" customFormat="false" ht="15" hidden="false" customHeight="false" outlineLevel="0" collapsed="false">
      <c r="A177" s="5" t="s">
        <v>815</v>
      </c>
      <c r="B177" s="5" t="s">
        <v>1110</v>
      </c>
      <c r="C177" s="5" t="s">
        <v>1116</v>
      </c>
      <c r="D177" s="5" t="s">
        <v>1112</v>
      </c>
      <c r="E177" s="25" t="n">
        <v>120</v>
      </c>
      <c r="F177" s="5" t="s">
        <v>918</v>
      </c>
      <c r="G177" s="26"/>
    </row>
    <row r="178" customFormat="false" ht="15" hidden="false" customHeight="false" outlineLevel="0" collapsed="false">
      <c r="A178" s="5" t="s">
        <v>818</v>
      </c>
      <c r="B178" s="5" t="s">
        <v>1110</v>
      </c>
      <c r="C178" s="5" t="s">
        <v>1117</v>
      </c>
      <c r="D178" s="5" t="s">
        <v>1112</v>
      </c>
      <c r="E178" s="25" t="n">
        <v>88</v>
      </c>
      <c r="F178" s="5" t="s">
        <v>918</v>
      </c>
      <c r="G178" s="26"/>
    </row>
    <row r="179" customFormat="false" ht="15" hidden="false" customHeight="false" outlineLevel="0" collapsed="false">
      <c r="A179" s="5" t="s">
        <v>819</v>
      </c>
      <c r="B179" s="5" t="s">
        <v>1110</v>
      </c>
      <c r="C179" s="5" t="s">
        <v>1118</v>
      </c>
      <c r="D179" s="5" t="s">
        <v>1112</v>
      </c>
      <c r="E179" s="25" t="n">
        <v>118</v>
      </c>
      <c r="F179" s="5" t="s">
        <v>918</v>
      </c>
      <c r="G179" s="26"/>
    </row>
    <row r="180" customFormat="false" ht="15" hidden="false" customHeight="false" outlineLevel="0" collapsed="false">
      <c r="A180" s="5" t="s">
        <v>822</v>
      </c>
      <c r="B180" s="5" t="s">
        <v>1110</v>
      </c>
      <c r="C180" s="5" t="s">
        <v>1119</v>
      </c>
      <c r="D180" s="5" t="s">
        <v>1112</v>
      </c>
      <c r="E180" s="25" t="n">
        <v>105</v>
      </c>
      <c r="F180" s="5" t="s">
        <v>918</v>
      </c>
      <c r="G180" s="26"/>
    </row>
    <row r="181" customFormat="false" ht="15" hidden="false" customHeight="false" outlineLevel="0" collapsed="false">
      <c r="A181" s="5" t="s">
        <v>827</v>
      </c>
      <c r="B181" s="5" t="s">
        <v>1110</v>
      </c>
      <c r="C181" s="5" t="s">
        <v>1120</v>
      </c>
      <c r="D181" s="5" t="s">
        <v>1112</v>
      </c>
      <c r="E181" s="25" t="n">
        <v>130</v>
      </c>
      <c r="F181" s="5" t="s">
        <v>918</v>
      </c>
      <c r="G181" s="26"/>
    </row>
    <row r="182" customFormat="false" ht="15" hidden="false" customHeight="false" outlineLevel="0" collapsed="false">
      <c r="A182" s="5" t="s">
        <v>832</v>
      </c>
      <c r="B182" s="5" t="s">
        <v>1110</v>
      </c>
      <c r="C182" s="5" t="s">
        <v>1121</v>
      </c>
      <c r="D182" s="5" t="s">
        <v>1112</v>
      </c>
      <c r="E182" s="25" t="n">
        <v>95</v>
      </c>
      <c r="F182" s="5" t="s">
        <v>918</v>
      </c>
      <c r="G182" s="26"/>
    </row>
    <row r="183" customFormat="false" ht="15" hidden="false" customHeight="false" outlineLevel="0" collapsed="false">
      <c r="A183" s="5" t="s">
        <v>356</v>
      </c>
      <c r="B183" s="5" t="s">
        <v>1110</v>
      </c>
      <c r="C183" s="5" t="s">
        <v>1122</v>
      </c>
      <c r="D183" s="5" t="s">
        <v>1112</v>
      </c>
      <c r="E183" s="25" t="n">
        <v>110</v>
      </c>
      <c r="F183" s="5" t="s">
        <v>918</v>
      </c>
      <c r="G183" s="26"/>
    </row>
    <row r="184" customFormat="false" ht="15" hidden="false" customHeight="false" outlineLevel="0" collapsed="false">
      <c r="A184" s="5" t="s">
        <v>344</v>
      </c>
      <c r="B184" s="5" t="s">
        <v>1123</v>
      </c>
      <c r="C184" s="5" t="s">
        <v>1124</v>
      </c>
      <c r="D184" s="5" t="s">
        <v>108</v>
      </c>
      <c r="E184" s="25" t="n">
        <v>92</v>
      </c>
      <c r="F184" s="5" t="s">
        <v>918</v>
      </c>
      <c r="G184" s="26"/>
    </row>
    <row r="185" customFormat="false" ht="15" hidden="false" customHeight="false" outlineLevel="0" collapsed="false">
      <c r="A185" s="5" t="s">
        <v>345</v>
      </c>
      <c r="B185" s="5" t="s">
        <v>1123</v>
      </c>
      <c r="C185" s="5" t="s">
        <v>1125</v>
      </c>
      <c r="D185" s="5" t="s">
        <v>1112</v>
      </c>
      <c r="E185" s="25" t="n">
        <v>70</v>
      </c>
      <c r="F185" s="5" t="s">
        <v>918</v>
      </c>
      <c r="G185" s="26"/>
    </row>
    <row r="186" customFormat="false" ht="15" hidden="false" customHeight="false" outlineLevel="0" collapsed="false">
      <c r="A186" s="5" t="s">
        <v>350</v>
      </c>
      <c r="B186" s="5" t="s">
        <v>1123</v>
      </c>
      <c r="C186" s="5" t="s">
        <v>1126</v>
      </c>
      <c r="D186" s="5" t="s">
        <v>108</v>
      </c>
      <c r="E186" s="25" t="n">
        <v>75</v>
      </c>
      <c r="F186" s="5" t="s">
        <v>918</v>
      </c>
      <c r="G186" s="26"/>
    </row>
    <row r="187" customFormat="false" ht="15" hidden="false" customHeight="false" outlineLevel="0" collapsed="false">
      <c r="A187" s="5" t="s">
        <v>353</v>
      </c>
      <c r="B187" s="5" t="s">
        <v>1123</v>
      </c>
      <c r="C187" s="5" t="s">
        <v>1127</v>
      </c>
      <c r="D187" s="5" t="s">
        <v>108</v>
      </c>
      <c r="E187" s="25" t="n">
        <v>68</v>
      </c>
      <c r="F187" s="5" t="s">
        <v>918</v>
      </c>
      <c r="G187" s="26"/>
    </row>
    <row r="188" customFormat="false" ht="15" hidden="false" customHeight="false" outlineLevel="0" collapsed="false">
      <c r="A188" s="5" t="s">
        <v>838</v>
      </c>
      <c r="B188" s="5" t="s">
        <v>1128</v>
      </c>
      <c r="C188" s="5" t="s">
        <v>1129</v>
      </c>
      <c r="D188" s="5" t="s">
        <v>108</v>
      </c>
      <c r="E188" s="25" t="n">
        <v>290</v>
      </c>
      <c r="F188" s="5" t="s">
        <v>918</v>
      </c>
      <c r="G188" s="26"/>
    </row>
    <row r="189" customFormat="false" ht="15" hidden="false" customHeight="false" outlineLevel="0" collapsed="false">
      <c r="A189" s="5" t="s">
        <v>841</v>
      </c>
      <c r="B189" s="5" t="s">
        <v>1128</v>
      </c>
      <c r="C189" s="5" t="s">
        <v>840</v>
      </c>
      <c r="D189" s="5" t="s">
        <v>108</v>
      </c>
      <c r="E189" s="25" t="n">
        <v>680</v>
      </c>
      <c r="F189" s="5" t="s">
        <v>918</v>
      </c>
      <c r="G189" s="26"/>
    </row>
    <row r="190" customFormat="false" ht="15" hidden="false" customHeight="false" outlineLevel="0" collapsed="false">
      <c r="A190" s="5" t="s">
        <v>844</v>
      </c>
      <c r="B190" s="5" t="s">
        <v>1128</v>
      </c>
      <c r="C190" s="5" t="s">
        <v>1130</v>
      </c>
      <c r="D190" s="5" t="s">
        <v>108</v>
      </c>
      <c r="E190" s="25" t="n">
        <v>620</v>
      </c>
      <c r="F190" s="5" t="s">
        <v>918</v>
      </c>
      <c r="G190" s="26"/>
    </row>
    <row r="191" customFormat="false" ht="15" hidden="false" customHeight="false" outlineLevel="0" collapsed="false">
      <c r="A191" s="5" t="s">
        <v>847</v>
      </c>
      <c r="B191" s="5" t="s">
        <v>1128</v>
      </c>
      <c r="C191" s="5" t="s">
        <v>846</v>
      </c>
      <c r="D191" s="5" t="s">
        <v>108</v>
      </c>
      <c r="E191" s="25" t="n">
        <v>1650</v>
      </c>
      <c r="F191" s="5" t="s">
        <v>918</v>
      </c>
      <c r="G191" s="26"/>
    </row>
    <row r="192" customFormat="false" ht="15" hidden="false" customHeight="false" outlineLevel="0" collapsed="false">
      <c r="A192" s="5" t="s">
        <v>852</v>
      </c>
      <c r="B192" s="5" t="s">
        <v>1131</v>
      </c>
      <c r="C192" s="5" t="s">
        <v>1132</v>
      </c>
      <c r="D192" s="5" t="s">
        <v>108</v>
      </c>
      <c r="E192" s="25" t="n">
        <v>175</v>
      </c>
      <c r="F192" s="5" t="s">
        <v>918</v>
      </c>
      <c r="G192" s="26"/>
    </row>
    <row r="193" customFormat="false" ht="15" hidden="false" customHeight="false" outlineLevel="0" collapsed="false">
      <c r="A193" s="5" t="s">
        <v>855</v>
      </c>
      <c r="B193" s="5" t="s">
        <v>1131</v>
      </c>
      <c r="C193" s="5" t="s">
        <v>1133</v>
      </c>
      <c r="D193" s="5" t="s">
        <v>108</v>
      </c>
      <c r="E193" s="25" t="n">
        <v>148</v>
      </c>
      <c r="F193" s="5" t="s">
        <v>918</v>
      </c>
      <c r="G193" s="26"/>
    </row>
    <row r="194" customFormat="false" ht="15" hidden="false" customHeight="false" outlineLevel="0" collapsed="false">
      <c r="A194" s="5" t="s">
        <v>866</v>
      </c>
      <c r="B194" s="5" t="s">
        <v>1131</v>
      </c>
      <c r="C194" s="5" t="s">
        <v>1134</v>
      </c>
      <c r="D194" s="5" t="s">
        <v>108</v>
      </c>
      <c r="E194" s="25" t="n">
        <v>310</v>
      </c>
      <c r="F194" s="5" t="s">
        <v>918</v>
      </c>
      <c r="G194" s="26"/>
    </row>
    <row r="195" customFormat="false" ht="15" hidden="false" customHeight="false" outlineLevel="0" collapsed="false">
      <c r="A195" s="5" t="s">
        <v>858</v>
      </c>
      <c r="B195" s="5" t="s">
        <v>1131</v>
      </c>
      <c r="C195" s="5" t="s">
        <v>1135</v>
      </c>
      <c r="D195" s="5" t="s">
        <v>256</v>
      </c>
      <c r="E195" s="25" t="n">
        <v>92</v>
      </c>
      <c r="F195" s="5" t="s">
        <v>918</v>
      </c>
      <c r="G195" s="26"/>
    </row>
    <row r="196" customFormat="false" ht="15" hidden="false" customHeight="false" outlineLevel="0" collapsed="false">
      <c r="A196" s="5" t="s">
        <v>861</v>
      </c>
      <c r="B196" s="5" t="s">
        <v>1131</v>
      </c>
      <c r="C196" s="5" t="s">
        <v>1136</v>
      </c>
      <c r="D196" s="5" t="s">
        <v>256</v>
      </c>
      <c r="E196" s="25" t="n">
        <v>70</v>
      </c>
      <c r="F196" s="5" t="s">
        <v>918</v>
      </c>
      <c r="G196" s="26"/>
    </row>
    <row r="197" customFormat="false" ht="15" hidden="false" customHeight="false" outlineLevel="0" collapsed="false">
      <c r="A197" s="5" t="s">
        <v>869</v>
      </c>
      <c r="B197" s="5" t="s">
        <v>1131</v>
      </c>
      <c r="C197" s="5" t="s">
        <v>1137</v>
      </c>
      <c r="D197" s="5" t="s">
        <v>108</v>
      </c>
      <c r="E197" s="25" t="n">
        <v>420</v>
      </c>
      <c r="F197" s="5" t="s">
        <v>918</v>
      </c>
      <c r="G197" s="26"/>
    </row>
    <row r="198" customFormat="false" ht="15" hidden="false" customHeight="false" outlineLevel="0" collapsed="false">
      <c r="A198" s="5" t="s">
        <v>872</v>
      </c>
      <c r="B198" s="5" t="s">
        <v>1131</v>
      </c>
      <c r="C198" s="5" t="s">
        <v>1138</v>
      </c>
      <c r="D198" s="5" t="s">
        <v>256</v>
      </c>
      <c r="E198" s="25" t="n">
        <v>1150</v>
      </c>
      <c r="F198" s="5" t="s">
        <v>918</v>
      </c>
      <c r="G198" s="26"/>
    </row>
    <row r="199" customFormat="false" ht="15" hidden="false" customHeight="false" outlineLevel="0" collapsed="false">
      <c r="A199" s="5" t="s">
        <v>875</v>
      </c>
      <c r="B199" s="5" t="s">
        <v>1131</v>
      </c>
      <c r="C199" s="5" t="s">
        <v>1139</v>
      </c>
      <c r="D199" s="5" t="s">
        <v>256</v>
      </c>
      <c r="E199" s="25" t="n">
        <v>1650</v>
      </c>
      <c r="F199" s="5" t="s">
        <v>918</v>
      </c>
      <c r="G199" s="26"/>
    </row>
    <row r="200" customFormat="false" ht="15" hidden="false" customHeight="false" outlineLevel="0" collapsed="false">
      <c r="A200" s="5" t="s">
        <v>339</v>
      </c>
      <c r="B200" s="5" t="s">
        <v>1131</v>
      </c>
      <c r="C200" s="5" t="s">
        <v>1140</v>
      </c>
      <c r="D200" s="5" t="s">
        <v>256</v>
      </c>
      <c r="E200" s="25" t="n">
        <v>780</v>
      </c>
      <c r="F200" s="5" t="s">
        <v>918</v>
      </c>
      <c r="G200" s="26"/>
    </row>
    <row r="201" customFormat="false" ht="15" hidden="false" customHeight="false" outlineLevel="0" collapsed="false">
      <c r="A201" s="5" t="s">
        <v>878</v>
      </c>
      <c r="B201" s="5" t="s">
        <v>1131</v>
      </c>
      <c r="C201" s="5" t="s">
        <v>1141</v>
      </c>
      <c r="D201" s="5" t="s">
        <v>256</v>
      </c>
      <c r="E201" s="25" t="n">
        <v>120</v>
      </c>
      <c r="F201" s="5" t="s">
        <v>918</v>
      </c>
      <c r="G201" s="26"/>
    </row>
    <row r="202" customFormat="false" ht="15" hidden="false" customHeight="false" outlineLevel="0" collapsed="false">
      <c r="A202" s="5" t="s">
        <v>881</v>
      </c>
      <c r="B202" s="5" t="s">
        <v>1131</v>
      </c>
      <c r="C202" s="5" t="s">
        <v>1142</v>
      </c>
      <c r="D202" s="5" t="s">
        <v>96</v>
      </c>
      <c r="E202" s="25" t="n">
        <v>28000</v>
      </c>
      <c r="F202" s="5" t="s">
        <v>918</v>
      </c>
      <c r="G202" s="26"/>
    </row>
    <row r="203" customFormat="false" ht="15" hidden="false" customHeight="false" outlineLevel="0" collapsed="false">
      <c r="A203" s="5" t="s">
        <v>884</v>
      </c>
      <c r="B203" s="5" t="s">
        <v>1131</v>
      </c>
      <c r="C203" s="5" t="s">
        <v>1143</v>
      </c>
      <c r="D203" s="5" t="s">
        <v>96</v>
      </c>
      <c r="E203" s="25" t="n">
        <v>3200</v>
      </c>
      <c r="F203" s="5" t="s">
        <v>918</v>
      </c>
      <c r="G203" s="26"/>
    </row>
    <row r="204" customFormat="false" ht="15" hidden="false" customHeight="false" outlineLevel="0" collapsed="false">
      <c r="A204" s="5" t="s">
        <v>887</v>
      </c>
      <c r="B204" s="5" t="s">
        <v>1131</v>
      </c>
      <c r="C204" s="5" t="s">
        <v>1144</v>
      </c>
      <c r="D204" s="5" t="s">
        <v>108</v>
      </c>
      <c r="E204" s="25" t="n">
        <v>55</v>
      </c>
      <c r="F204" s="5" t="s">
        <v>918</v>
      </c>
      <c r="G204" s="26"/>
    </row>
    <row r="205" customFormat="false" ht="15" hidden="false" customHeight="false" outlineLevel="0" collapsed="false">
      <c r="A205" s="5" t="s">
        <v>894</v>
      </c>
      <c r="B205" s="5" t="s">
        <v>1131</v>
      </c>
      <c r="C205" s="5" t="s">
        <v>1145</v>
      </c>
      <c r="D205" s="5" t="s">
        <v>108</v>
      </c>
      <c r="E205" s="25" t="n">
        <v>290</v>
      </c>
      <c r="F205" s="5" t="s">
        <v>918</v>
      </c>
      <c r="G205" s="26"/>
    </row>
    <row r="206" customFormat="false" ht="15" hidden="false" customHeight="false" outlineLevel="0" collapsed="false">
      <c r="A206" s="5" t="s">
        <v>899</v>
      </c>
      <c r="B206" s="5" t="s">
        <v>1146</v>
      </c>
      <c r="C206" s="5" t="s">
        <v>897</v>
      </c>
      <c r="D206" s="5" t="s">
        <v>96</v>
      </c>
      <c r="E206" s="25" t="n">
        <v>650</v>
      </c>
      <c r="F206" s="5" t="s">
        <v>918</v>
      </c>
      <c r="G206" s="26"/>
    </row>
    <row r="207" customFormat="false" ht="15" hidden="false" customHeight="false" outlineLevel="0" collapsed="false">
      <c r="A207" s="5" t="s">
        <v>902</v>
      </c>
      <c r="B207" s="5" t="s">
        <v>1146</v>
      </c>
      <c r="C207" s="5" t="s">
        <v>1147</v>
      </c>
      <c r="D207" s="5" t="s">
        <v>96</v>
      </c>
      <c r="E207" s="25" t="n">
        <v>3800</v>
      </c>
      <c r="F207" s="5" t="s">
        <v>918</v>
      </c>
      <c r="G207" s="26"/>
    </row>
    <row r="208" customFormat="false" ht="15" hidden="false" customHeight="false" outlineLevel="0" collapsed="false">
      <c r="A208" s="5" t="s">
        <v>905</v>
      </c>
      <c r="B208" s="5" t="s">
        <v>1146</v>
      </c>
      <c r="C208" s="5" t="s">
        <v>904</v>
      </c>
      <c r="D208" s="5" t="s">
        <v>96</v>
      </c>
      <c r="E208" s="25" t="n">
        <v>850</v>
      </c>
      <c r="F208" s="5" t="s">
        <v>918</v>
      </c>
      <c r="G208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6" t="s">
        <v>51</v>
      </c>
      <c r="B1" s="16" t="s">
        <v>1148</v>
      </c>
      <c r="C1" s="16" t="s">
        <v>1149</v>
      </c>
      <c r="D1" s="16" t="s">
        <v>908</v>
      </c>
      <c r="E1" s="16" t="s">
        <v>1150</v>
      </c>
      <c r="F1" s="16" t="s">
        <v>1151</v>
      </c>
      <c r="G1" s="16" t="s">
        <v>1152</v>
      </c>
      <c r="H1" s="16" t="s">
        <v>1153</v>
      </c>
    </row>
    <row r="2" customFormat="false" ht="15" hidden="false" customHeight="false" outlineLevel="0" collapsed="false">
      <c r="A2" s="5" t="s">
        <v>1154</v>
      </c>
      <c r="B2" s="5" t="s">
        <v>1155</v>
      </c>
      <c r="C2" s="25" t="n">
        <v>41.33</v>
      </c>
      <c r="D2" s="5" t="s">
        <v>1156</v>
      </c>
      <c r="E2" s="26" t="s">
        <v>1157</v>
      </c>
      <c r="F2" s="28" t="n">
        <f aca="false">Settings!$B$17</f>
        <v>0.285</v>
      </c>
      <c r="G2" s="27" t="n">
        <f aca="false">C2*(1+F2)</f>
        <v>53.10905</v>
      </c>
      <c r="H2" s="27" t="n">
        <f aca="false">G2*9</f>
        <v>477.98145</v>
      </c>
    </row>
    <row r="3" customFormat="false" ht="15" hidden="false" customHeight="false" outlineLevel="0" collapsed="false">
      <c r="A3" s="5" t="s">
        <v>1158</v>
      </c>
      <c r="B3" s="5" t="s">
        <v>1159</v>
      </c>
      <c r="C3" s="25" t="n">
        <v>53.73</v>
      </c>
      <c r="D3" s="5" t="s">
        <v>1156</v>
      </c>
      <c r="E3" s="26" t="s">
        <v>1160</v>
      </c>
      <c r="F3" s="28" t="n">
        <f aca="false">Settings!$B$17</f>
        <v>0.285</v>
      </c>
      <c r="G3" s="27" t="n">
        <f aca="false">C3*(1+F3)</f>
        <v>69.04305</v>
      </c>
      <c r="H3" s="27" t="n">
        <f aca="false">G3*9</f>
        <v>621.38745</v>
      </c>
    </row>
    <row r="4" customFormat="false" ht="15" hidden="false" customHeight="false" outlineLevel="0" collapsed="false">
      <c r="A4" s="5" t="s">
        <v>1161</v>
      </c>
      <c r="B4" s="5" t="s">
        <v>1162</v>
      </c>
      <c r="C4" s="25" t="n">
        <v>58.49</v>
      </c>
      <c r="D4" s="5" t="s">
        <v>1156</v>
      </c>
      <c r="E4" s="26" t="s">
        <v>1160</v>
      </c>
      <c r="F4" s="28" t="n">
        <f aca="false">Settings!$B$17</f>
        <v>0.285</v>
      </c>
      <c r="G4" s="27" t="n">
        <f aca="false">C4*(1+F4)</f>
        <v>75.15965</v>
      </c>
      <c r="H4" s="27" t="n">
        <f aca="false">G4*9</f>
        <v>676.43685</v>
      </c>
    </row>
    <row r="5" customFormat="false" ht="15" hidden="false" customHeight="false" outlineLevel="0" collapsed="false">
      <c r="A5" s="5" t="s">
        <v>1163</v>
      </c>
      <c r="B5" s="5" t="s">
        <v>1164</v>
      </c>
      <c r="C5" s="25" t="n">
        <v>64.52</v>
      </c>
      <c r="D5" s="5" t="s">
        <v>1156</v>
      </c>
      <c r="E5" s="26" t="s">
        <v>1160</v>
      </c>
      <c r="F5" s="28" t="n">
        <f aca="false">Settings!$B$17</f>
        <v>0.285</v>
      </c>
      <c r="G5" s="27" t="n">
        <f aca="false">C5*(1+F5)</f>
        <v>82.9082</v>
      </c>
      <c r="H5" s="27" t="n">
        <f aca="false">G5*9</f>
        <v>746.1738</v>
      </c>
    </row>
    <row r="6" customFormat="false" ht="15" hidden="false" customHeight="false" outlineLevel="0" collapsed="false">
      <c r="A6" s="5" t="s">
        <v>1165</v>
      </c>
      <c r="B6" s="5" t="s">
        <v>1166</v>
      </c>
      <c r="C6" s="25" t="n">
        <v>87.95</v>
      </c>
      <c r="D6" s="5" t="s">
        <v>1156</v>
      </c>
      <c r="E6" s="26" t="s">
        <v>1160</v>
      </c>
      <c r="F6" s="28" t="n">
        <f aca="false">Settings!$B$17</f>
        <v>0.285</v>
      </c>
      <c r="G6" s="27" t="n">
        <f aca="false">C6*(1+F6)</f>
        <v>113.01575</v>
      </c>
      <c r="H6" s="27" t="n">
        <f aca="false">G6*9</f>
        <v>1017.14175</v>
      </c>
    </row>
    <row r="7" customFormat="false" ht="15" hidden="false" customHeight="false" outlineLevel="0" collapsed="false">
      <c r="A7" s="5" t="s">
        <v>1167</v>
      </c>
      <c r="B7" s="5" t="s">
        <v>1168</v>
      </c>
      <c r="C7" s="25" t="n">
        <v>117.23</v>
      </c>
      <c r="D7" s="5" t="s">
        <v>1156</v>
      </c>
      <c r="E7" s="26" t="s">
        <v>1160</v>
      </c>
      <c r="F7" s="28" t="n">
        <f aca="false">Settings!$B$17</f>
        <v>0.285</v>
      </c>
      <c r="G7" s="27" t="n">
        <f aca="false">C7*(1+F7)</f>
        <v>150.64055</v>
      </c>
      <c r="H7" s="27" t="n">
        <f aca="false">G7*9</f>
        <v>1355.76495</v>
      </c>
    </row>
    <row r="8" customFormat="false" ht="15" hidden="false" customHeight="false" outlineLevel="0" collapsed="false">
      <c r="A8" s="5" t="s">
        <v>1169</v>
      </c>
      <c r="B8" s="5" t="s">
        <v>1170</v>
      </c>
      <c r="C8" s="25" t="n">
        <v>73.41</v>
      </c>
      <c r="D8" s="5" t="s">
        <v>1156</v>
      </c>
      <c r="E8" s="26" t="s">
        <v>1160</v>
      </c>
      <c r="F8" s="28" t="n">
        <f aca="false">Settings!$B$17</f>
        <v>0.285</v>
      </c>
      <c r="G8" s="27" t="n">
        <f aca="false">C8*(1+F8)</f>
        <v>94.33185</v>
      </c>
      <c r="H8" s="27" t="n">
        <f aca="false">G8*9</f>
        <v>848.98665</v>
      </c>
    </row>
    <row r="9" customFormat="false" ht="15" hidden="false" customHeight="false" outlineLevel="0" collapsed="false">
      <c r="A9" s="5" t="s">
        <v>1171</v>
      </c>
      <c r="B9" s="5" t="s">
        <v>1172</v>
      </c>
      <c r="C9" s="25" t="n">
        <v>55.28</v>
      </c>
      <c r="D9" s="5" t="s">
        <v>1156</v>
      </c>
      <c r="E9" s="26" t="s">
        <v>1160</v>
      </c>
      <c r="F9" s="28" t="n">
        <f aca="false">Settings!$B$17</f>
        <v>0.285</v>
      </c>
      <c r="G9" s="27" t="n">
        <f aca="false">C9*(1+F9)</f>
        <v>71.0348</v>
      </c>
      <c r="H9" s="27" t="n">
        <f aca="false">G9*9</f>
        <v>639.3132</v>
      </c>
    </row>
    <row r="10" customFormat="false" ht="15" hidden="false" customHeight="false" outlineLevel="0" collapsed="false">
      <c r="A10" s="5" t="s">
        <v>1173</v>
      </c>
      <c r="B10" s="5" t="s">
        <v>1174</v>
      </c>
      <c r="C10" s="25" t="n">
        <v>140</v>
      </c>
      <c r="D10" s="5" t="s">
        <v>918</v>
      </c>
      <c r="E10" s="26" t="s">
        <v>1175</v>
      </c>
      <c r="F10" s="28" t="n">
        <f aca="false">Settings!$B$17</f>
        <v>0.285</v>
      </c>
      <c r="G10" s="27" t="n">
        <f aca="false">C10*(1+F10)</f>
        <v>179.9</v>
      </c>
      <c r="H10" s="27" t="n">
        <f aca="false">G10*9</f>
        <v>1619.1</v>
      </c>
    </row>
    <row r="11" customFormat="false" ht="15" hidden="false" customHeight="false" outlineLevel="0" collapsed="false">
      <c r="A11" s="5" t="s">
        <v>1176</v>
      </c>
      <c r="B11" s="5" t="s">
        <v>1177</v>
      </c>
      <c r="C11" s="25" t="n">
        <v>135</v>
      </c>
      <c r="D11" s="5" t="s">
        <v>918</v>
      </c>
      <c r="E11" s="26" t="s">
        <v>1175</v>
      </c>
      <c r="F11" s="28" t="n">
        <f aca="false">Settings!$B$17</f>
        <v>0.285</v>
      </c>
      <c r="G11" s="27" t="n">
        <f aca="false">C11*(1+F11)</f>
        <v>173.475</v>
      </c>
      <c r="H11" s="27" t="n">
        <f aca="false">G11*9</f>
        <v>1561.275</v>
      </c>
    </row>
    <row r="12" customFormat="false" ht="15" hidden="false" customHeight="false" outlineLevel="0" collapsed="false">
      <c r="A12" s="5" t="s">
        <v>1178</v>
      </c>
      <c r="B12" s="5" t="s">
        <v>1179</v>
      </c>
      <c r="C12" s="25" t="n">
        <v>150</v>
      </c>
      <c r="D12" s="5" t="s">
        <v>918</v>
      </c>
      <c r="E12" s="26" t="s">
        <v>1180</v>
      </c>
      <c r="F12" s="28" t="n">
        <f aca="false">Settings!$B$17</f>
        <v>0.285</v>
      </c>
      <c r="G12" s="27" t="n">
        <f aca="false">C12*(1+F12)</f>
        <v>192.75</v>
      </c>
      <c r="H12" s="27" t="n">
        <f aca="false">G12*9</f>
        <v>1734.75</v>
      </c>
    </row>
    <row r="13" customFormat="false" ht="15" hidden="false" customHeight="false" outlineLevel="0" collapsed="false">
      <c r="A13" s="5" t="s">
        <v>1181</v>
      </c>
      <c r="B13" s="5" t="s">
        <v>1182</v>
      </c>
      <c r="C13" s="25" t="n">
        <v>240</v>
      </c>
      <c r="D13" s="5" t="s">
        <v>918</v>
      </c>
      <c r="E13" s="26" t="s">
        <v>1180</v>
      </c>
      <c r="F13" s="28" t="n">
        <f aca="false">Settings!$B$17</f>
        <v>0.285</v>
      </c>
      <c r="G13" s="27" t="n">
        <f aca="false">C13*(1+F13)</f>
        <v>308.4</v>
      </c>
      <c r="H13" s="27" t="n">
        <f aca="false">G13*9</f>
        <v>2775.6</v>
      </c>
    </row>
    <row r="15" customFormat="false" ht="15" hidden="false" customHeight="false" outlineLevel="0" collapsed="false">
      <c r="A15" s="29" t="s">
        <v>1183</v>
      </c>
    </row>
    <row r="16" customFormat="false" ht="15" hidden="false" customHeight="false" outlineLevel="0" collapsed="false">
      <c r="A16" s="29" t="s">
        <v>1184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6" t="s">
        <v>54</v>
      </c>
      <c r="B1" s="16" t="s">
        <v>52</v>
      </c>
      <c r="C1" s="16" t="s">
        <v>1185</v>
      </c>
      <c r="D1" s="16" t="s">
        <v>1186</v>
      </c>
    </row>
    <row r="2" customFormat="false" ht="15" hidden="false" customHeight="false" outlineLevel="0" collapsed="false">
      <c r="A2" s="5" t="s">
        <v>75</v>
      </c>
      <c r="B2" s="5" t="s">
        <v>1155</v>
      </c>
      <c r="C2" s="5" t="s">
        <v>1187</v>
      </c>
      <c r="D2" s="30" t="n">
        <f aca="false">1*INDEX(Labour!$G:$G,MATCH("L01",Labour!$A:$A,0))</f>
        <v>53.10905</v>
      </c>
    </row>
    <row r="3" customFormat="false" ht="15" hidden="false" customHeight="false" outlineLevel="0" collapsed="false">
      <c r="A3" s="5" t="s">
        <v>898</v>
      </c>
      <c r="B3" s="5" t="s">
        <v>1188</v>
      </c>
      <c r="C3" s="5" t="s">
        <v>1189</v>
      </c>
      <c r="D3" s="30" t="n">
        <f aca="false">1*INDEX(Labour!$G:$G,MATCH("L02",Labour!$A:$A,0))</f>
        <v>69.04305</v>
      </c>
    </row>
    <row r="4" customFormat="false" ht="15" hidden="false" customHeight="false" outlineLevel="0" collapsed="false">
      <c r="A4" s="5" t="s">
        <v>124</v>
      </c>
      <c r="B4" s="5" t="s">
        <v>1190</v>
      </c>
      <c r="C4" s="5" t="s">
        <v>1191</v>
      </c>
      <c r="D4" s="30" t="n">
        <f aca="false">1*INDEX(Labour!$G:$G,MATCH("L02",Labour!$A:$A,0))+2*INDEX(Labour!$G:$G,MATCH("L01",Labour!$A:$A,0))</f>
        <v>175.26115</v>
      </c>
    </row>
    <row r="5" customFormat="false" ht="15" hidden="false" customHeight="false" outlineLevel="0" collapsed="false">
      <c r="A5" s="5" t="s">
        <v>154</v>
      </c>
      <c r="B5" s="5" t="s">
        <v>1192</v>
      </c>
      <c r="C5" s="5" t="s">
        <v>1193</v>
      </c>
      <c r="D5" s="30" t="n">
        <f aca="false">1*INDEX(Labour!$G:$G,MATCH("L05",Labour!$A:$A,0))+1*INDEX(Labour!$G:$G,MATCH("L01",Labour!$A:$A,0))</f>
        <v>166.1248</v>
      </c>
    </row>
    <row r="6" customFormat="false" ht="15" hidden="false" customHeight="false" outlineLevel="0" collapsed="false">
      <c r="A6" s="5" t="s">
        <v>314</v>
      </c>
      <c r="B6" s="5" t="s">
        <v>1194</v>
      </c>
      <c r="C6" s="5" t="s">
        <v>1195</v>
      </c>
      <c r="D6" s="30" t="n">
        <f aca="false">1*INDEX(Labour!$G:$G,MATCH("L06",Labour!$A:$A,0))+1*INDEX(Labour!$G:$G,MATCH("L01",Labour!$A:$A,0))</f>
        <v>203.7496</v>
      </c>
    </row>
    <row r="7" customFormat="false" ht="15" hidden="false" customHeight="false" outlineLevel="0" collapsed="false">
      <c r="A7" s="5" t="s">
        <v>206</v>
      </c>
      <c r="B7" s="5" t="s">
        <v>1196</v>
      </c>
      <c r="C7" s="5" t="s">
        <v>1197</v>
      </c>
      <c r="D7" s="30" t="n">
        <f aca="false">1*INDEX(Labour!$G:$G,MATCH("L05",Labour!$A:$A,0))+1*INDEX(Labour!$G:$G,MATCH("L02",Labour!$A:$A,0))+2*INDEX(Labour!$G:$G,MATCH("L01",Labour!$A:$A,0))</f>
        <v>288.2769</v>
      </c>
    </row>
    <row r="8" customFormat="false" ht="15" hidden="false" customHeight="false" outlineLevel="0" collapsed="false">
      <c r="A8" s="5" t="s">
        <v>245</v>
      </c>
      <c r="B8" s="5" t="s">
        <v>1198</v>
      </c>
      <c r="C8" s="5" t="s">
        <v>1193</v>
      </c>
      <c r="D8" s="30" t="n">
        <f aca="false">1*INDEX(Labour!$G:$G,MATCH("L05",Labour!$A:$A,0))+1*INDEX(Labour!$G:$G,MATCH("L01",Labour!$A:$A,0))</f>
        <v>166.1248</v>
      </c>
    </row>
    <row r="9" customFormat="false" ht="15" hidden="false" customHeight="false" outlineLevel="0" collapsed="false">
      <c r="A9" s="5" t="s">
        <v>260</v>
      </c>
      <c r="B9" s="5" t="s">
        <v>1199</v>
      </c>
      <c r="C9" s="5" t="s">
        <v>1193</v>
      </c>
      <c r="D9" s="30" t="n">
        <f aca="false">1*INDEX(Labour!$G:$G,MATCH("L05",Labour!$A:$A,0))+1*INDEX(Labour!$G:$G,MATCH("L01",Labour!$A:$A,0))</f>
        <v>166.1248</v>
      </c>
    </row>
    <row r="10" customFormat="false" ht="15" hidden="false" customHeight="false" outlineLevel="0" collapsed="false">
      <c r="A10" s="5" t="s">
        <v>364</v>
      </c>
      <c r="B10" s="5" t="s">
        <v>1200</v>
      </c>
      <c r="C10" s="5" t="s">
        <v>1195</v>
      </c>
      <c r="D10" s="30" t="n">
        <f aca="false">1*INDEX(Labour!$G:$G,MATCH("L06",Labour!$A:$A,0))+1*INDEX(Labour!$G:$G,MATCH("L01",Labour!$A:$A,0))</f>
        <v>203.7496</v>
      </c>
    </row>
    <row r="11" customFormat="false" ht="15" hidden="false" customHeight="false" outlineLevel="0" collapsed="false">
      <c r="A11" s="5" t="s">
        <v>433</v>
      </c>
      <c r="B11" s="5" t="s">
        <v>1201</v>
      </c>
      <c r="C11" s="5" t="s">
        <v>1202</v>
      </c>
      <c r="D11" s="30" t="n">
        <f aca="false">1*INDEX(Labour!$G:$G,MATCH("L06",Labour!$A:$A,0))</f>
        <v>150.64055</v>
      </c>
    </row>
    <row r="12" customFormat="false" ht="15" hidden="false" customHeight="false" outlineLevel="0" collapsed="false">
      <c r="A12" s="5" t="s">
        <v>373</v>
      </c>
      <c r="B12" s="5" t="s">
        <v>1203</v>
      </c>
      <c r="C12" s="5" t="s">
        <v>1193</v>
      </c>
      <c r="D12" s="30" t="n">
        <f aca="false">1*INDEX(Labour!$G:$G,MATCH("L05",Labour!$A:$A,0))+1*INDEX(Labour!$G:$G,MATCH("L01",Labour!$A:$A,0))</f>
        <v>166.1248</v>
      </c>
    </row>
    <row r="13" customFormat="false" ht="15" hidden="false" customHeight="false" outlineLevel="0" collapsed="false">
      <c r="A13" s="5" t="s">
        <v>536</v>
      </c>
      <c r="B13" s="5" t="s">
        <v>1204</v>
      </c>
      <c r="C13" s="5" t="s">
        <v>1193</v>
      </c>
      <c r="D13" s="30" t="n">
        <f aca="false">1*INDEX(Labour!$G:$G,MATCH("L05",Labour!$A:$A,0))+1*INDEX(Labour!$G:$G,MATCH("L01",Labour!$A:$A,0))</f>
        <v>166.1248</v>
      </c>
    </row>
    <row r="14" customFormat="false" ht="15" hidden="false" customHeight="false" outlineLevel="0" collapsed="false">
      <c r="A14" s="5" t="s">
        <v>236</v>
      </c>
      <c r="B14" s="5" t="s">
        <v>1205</v>
      </c>
      <c r="C14" s="5" t="s">
        <v>1193</v>
      </c>
      <c r="D14" s="30" t="n">
        <f aca="false">1*INDEX(Labour!$G:$G,MATCH("L05",Labour!$A:$A,0))+1*INDEX(Labour!$G:$G,MATCH("L01",Labour!$A:$A,0))</f>
        <v>166.1248</v>
      </c>
    </row>
    <row r="15" customFormat="false" ht="15" hidden="false" customHeight="false" outlineLevel="0" collapsed="false">
      <c r="A15" s="5" t="s">
        <v>554</v>
      </c>
      <c r="B15" s="5" t="s">
        <v>1206</v>
      </c>
      <c r="C15" s="5" t="s">
        <v>1207</v>
      </c>
      <c r="D15" s="30" t="n">
        <f aca="false">1*INDEX(Labour!$G:$G,MATCH("L05",Labour!$A:$A,0))+0.5*INDEX(Labour!$G:$G,MATCH("L01",Labour!$A:$A,0))</f>
        <v>139.570275</v>
      </c>
    </row>
    <row r="16" customFormat="false" ht="15" hidden="false" customHeight="false" outlineLevel="0" collapsed="false">
      <c r="A16" s="5" t="s">
        <v>510</v>
      </c>
      <c r="B16" s="5" t="s">
        <v>1208</v>
      </c>
      <c r="C16" s="5" t="s">
        <v>1209</v>
      </c>
      <c r="D16" s="30" t="n">
        <f aca="false">1*INDEX(Labour!$G:$G,MATCH("L05",Labour!$A:$A,0))+0.5*INDEX(Labour!$G:$G,MATCH("L02",Labour!$A:$A,0))</f>
        <v>147.537275</v>
      </c>
    </row>
    <row r="17" customFormat="false" ht="15" hidden="false" customHeight="false" outlineLevel="0" collapsed="false">
      <c r="A17" s="5" t="s">
        <v>571</v>
      </c>
      <c r="B17" s="5" t="s">
        <v>1210</v>
      </c>
      <c r="C17" s="5" t="s">
        <v>1211</v>
      </c>
      <c r="D17" s="30" t="n">
        <f aca="false">1*INDEX(Labour!$G:$G,MATCH("L04",Labour!$A:$A,0))</f>
        <v>82.9082</v>
      </c>
    </row>
    <row r="18" customFormat="false" ht="15" hidden="false" customHeight="false" outlineLevel="0" collapsed="false">
      <c r="A18" s="5" t="s">
        <v>343</v>
      </c>
      <c r="B18" s="5" t="s">
        <v>1212</v>
      </c>
      <c r="C18" s="5" t="s">
        <v>1213</v>
      </c>
      <c r="D18" s="30" t="n">
        <f aca="false">1*INDEX(Labour!$G:$G,MATCH("L04",Labour!$A:$A,0))+1*INDEX(Labour!$G:$G,MATCH("L01",Labour!$A:$A,0))</f>
        <v>136.01725</v>
      </c>
    </row>
    <row r="19" customFormat="false" ht="15" hidden="false" customHeight="false" outlineLevel="0" collapsed="false">
      <c r="A19" s="5" t="s">
        <v>481</v>
      </c>
      <c r="B19" s="5" t="s">
        <v>1214</v>
      </c>
      <c r="C19" s="5" t="s">
        <v>1215</v>
      </c>
      <c r="D19" s="30" t="n">
        <f aca="false">1*INDEX(Labour!$G:$G,MATCH("L05",Labour!$A:$A,0))</f>
        <v>113.01575</v>
      </c>
    </row>
    <row r="20" customFormat="false" ht="15" hidden="false" customHeight="false" outlineLevel="0" collapsed="false">
      <c r="A20" s="5" t="s">
        <v>393</v>
      </c>
      <c r="B20" s="5" t="s">
        <v>1216</v>
      </c>
      <c r="C20" s="5" t="s">
        <v>1217</v>
      </c>
      <c r="D20" s="30" t="n">
        <f aca="false">1*INDEX(Labour!$G:$G,MATCH("L06",Labour!$A:$A,0))+1*INDEX(Labour!$G:$G,MATCH("L02",Labour!$A:$A,0))+1*INDEX(Labour!$G:$G,MATCH("L01",Labour!$A:$A,0))</f>
        <v>272.79265</v>
      </c>
    </row>
    <row r="21" customFormat="false" ht="15" hidden="false" customHeight="false" outlineLevel="0" collapsed="false">
      <c r="A21" s="5" t="s">
        <v>151</v>
      </c>
      <c r="B21" s="5" t="s">
        <v>1218</v>
      </c>
      <c r="C21" s="5" t="s">
        <v>1219</v>
      </c>
      <c r="D21" s="30" t="n">
        <f aca="false">1*INDEX(Labour!$G:$G,MATCH("L10",Labour!$A:$A,0))+1*INDEX(Labour!$G:$G,MATCH("L01",Labour!$A:$A,0))</f>
        <v>226.58405</v>
      </c>
    </row>
    <row r="22" customFormat="false" ht="15" hidden="false" customHeight="false" outlineLevel="0" collapsed="false">
      <c r="A22" s="5" t="s">
        <v>715</v>
      </c>
      <c r="B22" s="5" t="s">
        <v>1220</v>
      </c>
      <c r="C22" s="5" t="s">
        <v>1221</v>
      </c>
      <c r="D22" s="30" t="n">
        <f aca="false">1*INDEX(Labour!$G:$G,MATCH("L09",Labour!$A:$A,0))+1*INDEX(Labour!$G:$G,MATCH("L02",Labour!$A:$A,0))</f>
        <v>248.94305</v>
      </c>
    </row>
    <row r="23" customFormat="false" ht="15" hidden="false" customHeight="false" outlineLevel="0" collapsed="false">
      <c r="A23" s="5" t="s">
        <v>851</v>
      </c>
      <c r="B23" s="5" t="s">
        <v>1222</v>
      </c>
      <c r="C23" s="5" t="s">
        <v>1223</v>
      </c>
      <c r="D23" s="30" t="n">
        <f aca="false">1*INDEX(Labour!$G:$G,MATCH("L04",Labour!$A:$A,0))+2*INDEX(Labour!$G:$G,MATCH("L01",Labour!$A:$A,0))</f>
        <v>189.1263</v>
      </c>
    </row>
    <row r="24" customFormat="false" ht="15" hidden="false" customHeight="false" outlineLevel="0" collapsed="false">
      <c r="A24" s="5" t="s">
        <v>79</v>
      </c>
      <c r="B24" s="5" t="s">
        <v>1179</v>
      </c>
      <c r="C24" s="5" t="s">
        <v>1224</v>
      </c>
      <c r="D24" s="30" t="n">
        <f aca="false">1*INDEX(Labour!$G:$G,MATCH("L11",Labour!$A:$A,0))</f>
        <v>192.75</v>
      </c>
    </row>
    <row r="25" customFormat="false" ht="15" hidden="false" customHeight="false" outlineLevel="0" collapsed="false">
      <c r="A25" s="5" t="s">
        <v>82</v>
      </c>
      <c r="B25" s="5" t="s">
        <v>1225</v>
      </c>
      <c r="C25" s="5" t="s">
        <v>1226</v>
      </c>
      <c r="D25" s="30" t="n">
        <f aca="false">1*INDEX(Labour!$G:$G,MATCH("L12",Labour!$A:$A,0))</f>
        <v>308.4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6" t="s">
        <v>51</v>
      </c>
      <c r="B1" s="16" t="s">
        <v>52</v>
      </c>
      <c r="C1" s="16" t="s">
        <v>53</v>
      </c>
      <c r="D1" s="16" t="s">
        <v>1227</v>
      </c>
      <c r="E1" s="16" t="s">
        <v>908</v>
      </c>
    </row>
    <row r="2" customFormat="false" ht="15" hidden="false" customHeight="false" outlineLevel="0" collapsed="false">
      <c r="A2" s="5" t="s">
        <v>167</v>
      </c>
      <c r="B2" s="5" t="s">
        <v>1228</v>
      </c>
      <c r="C2" s="5" t="s">
        <v>1229</v>
      </c>
      <c r="D2" s="25" t="n">
        <v>520</v>
      </c>
      <c r="E2" s="5" t="s">
        <v>918</v>
      </c>
    </row>
    <row r="3" customFormat="false" ht="15" hidden="false" customHeight="false" outlineLevel="0" collapsed="false">
      <c r="A3" s="5" t="s">
        <v>178</v>
      </c>
      <c r="B3" s="5" t="s">
        <v>1230</v>
      </c>
      <c r="C3" s="5" t="s">
        <v>1229</v>
      </c>
      <c r="D3" s="25" t="n">
        <v>1050</v>
      </c>
      <c r="E3" s="5" t="s">
        <v>918</v>
      </c>
    </row>
    <row r="4" customFormat="false" ht="15" hidden="false" customHeight="false" outlineLevel="0" collapsed="false">
      <c r="A4" s="5" t="s">
        <v>129</v>
      </c>
      <c r="B4" s="5" t="s">
        <v>1231</v>
      </c>
      <c r="C4" s="5" t="s">
        <v>1229</v>
      </c>
      <c r="D4" s="25" t="n">
        <v>150</v>
      </c>
      <c r="E4" s="5" t="s">
        <v>918</v>
      </c>
    </row>
    <row r="5" customFormat="false" ht="15" hidden="false" customHeight="false" outlineLevel="0" collapsed="false">
      <c r="A5" s="5" t="s">
        <v>188</v>
      </c>
      <c r="B5" s="5" t="s">
        <v>1232</v>
      </c>
      <c r="C5" s="5" t="s">
        <v>93</v>
      </c>
      <c r="D5" s="25" t="n">
        <v>380</v>
      </c>
      <c r="E5" s="5" t="s">
        <v>918</v>
      </c>
    </row>
    <row r="6" customFormat="false" ht="15" hidden="false" customHeight="false" outlineLevel="0" collapsed="false">
      <c r="A6" s="5" t="s">
        <v>1233</v>
      </c>
      <c r="B6" s="5" t="s">
        <v>1234</v>
      </c>
      <c r="C6" s="5" t="s">
        <v>93</v>
      </c>
      <c r="D6" s="25" t="n">
        <v>1400</v>
      </c>
      <c r="E6" s="5" t="s">
        <v>918</v>
      </c>
    </row>
    <row r="7" customFormat="false" ht="15" hidden="false" customHeight="false" outlineLevel="0" collapsed="false">
      <c r="A7" s="5" t="s">
        <v>211</v>
      </c>
      <c r="B7" s="5" t="s">
        <v>1235</v>
      </c>
      <c r="C7" s="5" t="s">
        <v>93</v>
      </c>
      <c r="D7" s="25" t="n">
        <v>320</v>
      </c>
      <c r="E7" s="5" t="s">
        <v>918</v>
      </c>
    </row>
    <row r="8" customFormat="false" ht="15" hidden="false" customHeight="false" outlineLevel="0" collapsed="false">
      <c r="A8" s="5" t="s">
        <v>229</v>
      </c>
      <c r="B8" s="5" t="s">
        <v>1236</v>
      </c>
      <c r="C8" s="5" t="s">
        <v>93</v>
      </c>
      <c r="D8" s="25" t="n">
        <v>300</v>
      </c>
      <c r="E8" s="5" t="s">
        <v>918</v>
      </c>
    </row>
    <row r="9" customFormat="false" ht="15" hidden="false" customHeight="false" outlineLevel="0" collapsed="false">
      <c r="A9" s="5" t="s">
        <v>239</v>
      </c>
      <c r="B9" s="5" t="s">
        <v>1237</v>
      </c>
      <c r="C9" s="5" t="s">
        <v>93</v>
      </c>
      <c r="D9" s="25" t="n">
        <v>600</v>
      </c>
      <c r="E9" s="5" t="s">
        <v>918</v>
      </c>
    </row>
    <row r="10" customFormat="false" ht="15" hidden="false" customHeight="false" outlineLevel="0" collapsed="false">
      <c r="A10" s="5" t="s">
        <v>282</v>
      </c>
      <c r="B10" s="5" t="s">
        <v>1238</v>
      </c>
      <c r="C10" s="5" t="s">
        <v>93</v>
      </c>
      <c r="D10" s="25" t="n">
        <v>700</v>
      </c>
      <c r="E10" s="5" t="s">
        <v>918</v>
      </c>
    </row>
    <row r="11" customFormat="false" ht="15" hidden="false" customHeight="false" outlineLevel="0" collapsed="false">
      <c r="A11" s="5" t="s">
        <v>575</v>
      </c>
      <c r="B11" s="5" t="s">
        <v>1239</v>
      </c>
      <c r="C11" s="5" t="s">
        <v>93</v>
      </c>
      <c r="D11" s="25" t="n">
        <v>1200</v>
      </c>
      <c r="E11" s="5" t="s">
        <v>918</v>
      </c>
    </row>
    <row r="12" customFormat="false" ht="15" hidden="false" customHeight="false" outlineLevel="0" collapsed="false">
      <c r="A12" s="5" t="s">
        <v>221</v>
      </c>
      <c r="B12" s="5" t="s">
        <v>1240</v>
      </c>
      <c r="C12" s="5" t="s">
        <v>132</v>
      </c>
      <c r="D12" s="25" t="n">
        <v>170</v>
      </c>
      <c r="E12" s="5" t="s">
        <v>918</v>
      </c>
    </row>
    <row r="13" customFormat="false" ht="15" hidden="false" customHeight="false" outlineLevel="0" collapsed="false">
      <c r="A13" s="5" t="s">
        <v>251</v>
      </c>
      <c r="B13" s="5" t="s">
        <v>1241</v>
      </c>
      <c r="C13" s="5" t="s">
        <v>108</v>
      </c>
      <c r="D13" s="25" t="n">
        <v>45</v>
      </c>
      <c r="E13" s="5" t="s">
        <v>918</v>
      </c>
    </row>
    <row r="14" customFormat="false" ht="15" hidden="false" customHeight="false" outlineLevel="0" collapsed="false">
      <c r="A14" s="5" t="s">
        <v>185</v>
      </c>
      <c r="B14" s="5" t="s">
        <v>1242</v>
      </c>
      <c r="C14" s="5" t="s">
        <v>93</v>
      </c>
      <c r="D14" s="25" t="n">
        <v>450</v>
      </c>
      <c r="E14" s="5" t="s">
        <v>918</v>
      </c>
    </row>
    <row r="15" customFormat="false" ht="15" hidden="false" customHeight="false" outlineLevel="0" collapsed="false">
      <c r="A15" s="5" t="s">
        <v>97</v>
      </c>
      <c r="B15" s="5" t="s">
        <v>1243</v>
      </c>
      <c r="C15" s="5" t="s">
        <v>96</v>
      </c>
      <c r="D15" s="25" t="n">
        <v>2300</v>
      </c>
      <c r="E15" s="5" t="s">
        <v>918</v>
      </c>
    </row>
    <row r="16" customFormat="false" ht="15" hidden="false" customHeight="false" outlineLevel="0" collapsed="false">
      <c r="A16" s="5" t="s">
        <v>163</v>
      </c>
      <c r="B16" s="5" t="s">
        <v>1244</v>
      </c>
      <c r="C16" s="5" t="s">
        <v>132</v>
      </c>
      <c r="D16" s="25" t="n">
        <v>380</v>
      </c>
      <c r="E16" s="5" t="s">
        <v>918</v>
      </c>
    </row>
    <row r="17" customFormat="false" ht="15" hidden="false" customHeight="false" outlineLevel="0" collapsed="false">
      <c r="A17" s="5" t="s">
        <v>194</v>
      </c>
      <c r="B17" s="5" t="s">
        <v>1245</v>
      </c>
      <c r="C17" s="5" t="s">
        <v>132</v>
      </c>
      <c r="D17" s="25" t="n">
        <v>170</v>
      </c>
      <c r="E17" s="5" t="s">
        <v>918</v>
      </c>
    </row>
    <row r="18" customFormat="false" ht="15" hidden="false" customHeight="false" outlineLevel="0" collapsed="false">
      <c r="A18" s="5" t="s">
        <v>112</v>
      </c>
      <c r="B18" s="5" t="s">
        <v>110</v>
      </c>
      <c r="C18" s="5" t="s">
        <v>111</v>
      </c>
      <c r="D18" s="25" t="n">
        <v>18</v>
      </c>
      <c r="E18" s="5" t="s">
        <v>918</v>
      </c>
    </row>
    <row r="19" customFormat="false" ht="15" hidden="false" customHeight="false" outlineLevel="0" collapsed="false">
      <c r="A19" s="5" t="s">
        <v>88</v>
      </c>
      <c r="B19" s="5" t="s">
        <v>1246</v>
      </c>
      <c r="C19" s="5" t="s">
        <v>1247</v>
      </c>
      <c r="D19" s="25" t="n">
        <v>520</v>
      </c>
      <c r="E19" s="5" t="s">
        <v>918</v>
      </c>
    </row>
    <row r="20" customFormat="false" ht="15" hidden="false" customHeight="false" outlineLevel="0" collapsed="false">
      <c r="A20" s="5" t="s">
        <v>85</v>
      </c>
      <c r="B20" s="5" t="s">
        <v>1248</v>
      </c>
      <c r="C20" s="5" t="s">
        <v>1247</v>
      </c>
      <c r="D20" s="25" t="n">
        <v>650</v>
      </c>
      <c r="E20" s="5" t="s">
        <v>918</v>
      </c>
    </row>
    <row r="21" customFormat="false" ht="15" hidden="false" customHeight="false" outlineLevel="0" collapsed="false">
      <c r="A21" s="5" t="s">
        <v>118</v>
      </c>
      <c r="B21" s="5" t="s">
        <v>1249</v>
      </c>
      <c r="C21" s="5" t="s">
        <v>117</v>
      </c>
      <c r="D21" s="25" t="n">
        <v>12</v>
      </c>
      <c r="E21" s="5" t="s">
        <v>918</v>
      </c>
    </row>
    <row r="22" customFormat="false" ht="15" hidden="false" customHeight="false" outlineLevel="0" collapsed="false">
      <c r="A22" s="5" t="s">
        <v>785</v>
      </c>
      <c r="B22" s="5" t="s">
        <v>1250</v>
      </c>
      <c r="C22" s="5" t="s">
        <v>93</v>
      </c>
      <c r="D22" s="25" t="n">
        <v>9500</v>
      </c>
      <c r="E22" s="5" t="s">
        <v>918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6" t="s">
        <v>1251</v>
      </c>
      <c r="B1" s="16" t="s">
        <v>1252</v>
      </c>
      <c r="C1" s="16" t="s">
        <v>1253</v>
      </c>
    </row>
    <row r="2" customFormat="false" ht="15" hidden="false" customHeight="false" outlineLevel="0" collapsed="false">
      <c r="A2" s="5" t="s">
        <v>23</v>
      </c>
      <c r="B2" s="31" t="n">
        <v>1</v>
      </c>
      <c r="C2" s="5" t="s">
        <v>1254</v>
      </c>
    </row>
    <row r="3" customFormat="false" ht="15" hidden="false" customHeight="false" outlineLevel="0" collapsed="false">
      <c r="A3" s="5" t="s">
        <v>1255</v>
      </c>
      <c r="B3" s="31" t="n">
        <v>1.08</v>
      </c>
      <c r="C3" s="5" t="s">
        <v>1256</v>
      </c>
    </row>
    <row r="4" customFormat="false" ht="15" hidden="false" customHeight="false" outlineLevel="0" collapsed="false">
      <c r="A4" s="5" t="s">
        <v>1257</v>
      </c>
      <c r="B4" s="31" t="n">
        <v>1.04</v>
      </c>
      <c r="C4" s="5" t="s">
        <v>1258</v>
      </c>
    </row>
    <row r="5" customFormat="false" ht="15" hidden="false" customHeight="false" outlineLevel="0" collapsed="false">
      <c r="A5" s="5" t="s">
        <v>1259</v>
      </c>
      <c r="B5" s="31" t="n">
        <v>1.04</v>
      </c>
      <c r="C5" s="5" t="s">
        <v>1260</v>
      </c>
    </row>
    <row r="6" customFormat="false" ht="15" hidden="false" customHeight="false" outlineLevel="0" collapsed="false">
      <c r="A6" s="5" t="s">
        <v>1261</v>
      </c>
      <c r="B6" s="31" t="n">
        <v>0.98</v>
      </c>
      <c r="C6" s="5" t="s">
        <v>1258</v>
      </c>
    </row>
    <row r="7" customFormat="false" ht="15" hidden="false" customHeight="false" outlineLevel="0" collapsed="false">
      <c r="A7" s="5" t="s">
        <v>1262</v>
      </c>
      <c r="B7" s="31" t="n">
        <v>0.97</v>
      </c>
      <c r="C7" s="5" t="s">
        <v>1263</v>
      </c>
    </row>
    <row r="8" customFormat="false" ht="15" hidden="false" customHeight="false" outlineLevel="0" collapsed="false">
      <c r="A8" s="5" t="s">
        <v>1264</v>
      </c>
      <c r="B8" s="31" t="n">
        <v>1.06</v>
      </c>
      <c r="C8" s="5" t="s">
        <v>1265</v>
      </c>
    </row>
    <row r="9" customFormat="false" ht="15" hidden="false" customHeight="false" outlineLevel="0" collapsed="false">
      <c r="A9" s="5" t="s">
        <v>1266</v>
      </c>
      <c r="B9" s="31" t="n">
        <v>0.95</v>
      </c>
      <c r="C9" s="5" t="s">
        <v>1258</v>
      </c>
    </row>
    <row r="10" customFormat="false" ht="15" hidden="false" customHeight="false" outlineLevel="0" collapsed="false">
      <c r="A10" s="5" t="s">
        <v>1267</v>
      </c>
      <c r="B10" s="31" t="n">
        <v>0.98</v>
      </c>
      <c r="C10" s="5" t="s">
        <v>1258</v>
      </c>
    </row>
    <row r="11" customFormat="false" ht="15" hidden="false" customHeight="false" outlineLevel="0" collapsed="false">
      <c r="A11" s="5" t="s">
        <v>1268</v>
      </c>
      <c r="B11" s="31" t="n">
        <v>0.97</v>
      </c>
      <c r="C11" s="5" t="s">
        <v>1258</v>
      </c>
    </row>
    <row r="12" customFormat="false" ht="15" hidden="false" customHeight="false" outlineLevel="0" collapsed="false">
      <c r="A12" s="5" t="s">
        <v>1269</v>
      </c>
      <c r="B12" s="31" t="n">
        <v>0.95</v>
      </c>
      <c r="C12" s="5" t="s">
        <v>1258</v>
      </c>
    </row>
    <row r="13" customFormat="false" ht="15" hidden="false" customHeight="false" outlineLevel="0" collapsed="false">
      <c r="A13" s="5" t="s">
        <v>1270</v>
      </c>
      <c r="B13" s="31" t="n">
        <v>1.03</v>
      </c>
      <c r="C13" s="5" t="s">
        <v>1258</v>
      </c>
    </row>
    <row r="14" customFormat="false" ht="15" hidden="false" customHeight="false" outlineLevel="0" collapsed="false">
      <c r="A14" s="5" t="s">
        <v>1271</v>
      </c>
      <c r="B14" s="31" t="n">
        <v>0.96</v>
      </c>
      <c r="C14" s="5" t="s">
        <v>1258</v>
      </c>
    </row>
    <row r="15" customFormat="false" ht="15" hidden="false" customHeight="false" outlineLevel="0" collapsed="false">
      <c r="A15" s="5" t="s">
        <v>1272</v>
      </c>
      <c r="B15" s="31" t="n">
        <v>1</v>
      </c>
      <c r="C15" s="5" t="s">
        <v>1258</v>
      </c>
    </row>
    <row r="16" customFormat="false" ht="15" hidden="false" customHeight="false" outlineLevel="0" collapsed="false">
      <c r="A16" s="5" t="s">
        <v>1273</v>
      </c>
      <c r="B16" s="31" t="n">
        <v>1.08</v>
      </c>
      <c r="C16" s="5" t="s">
        <v>1274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7"/>
    <col collapsed="false" customWidth="true" hidden="false" outlineLevel="0" max="4" min="3" style="0" width="18"/>
    <col collapsed="false" customWidth="true" hidden="false" outlineLevel="0" max="7" min="5" style="0" width="20"/>
  </cols>
  <sheetData>
    <row r="1" customFormat="false" ht="17.35" hidden="false" customHeight="false" outlineLevel="0" collapsed="false">
      <c r="A1" s="4" t="s">
        <v>1275</v>
      </c>
    </row>
    <row r="2" customFormat="false" ht="30" hidden="false" customHeight="true" outlineLevel="0" collapsed="false">
      <c r="A2" s="32" t="s">
        <v>1276</v>
      </c>
    </row>
    <row r="4" customFormat="false" ht="23.85" hidden="false" customHeight="false" outlineLevel="0" collapsed="false">
      <c r="A4" s="16" t="s">
        <v>1277</v>
      </c>
      <c r="B4" s="16" t="s">
        <v>53</v>
      </c>
      <c r="C4" s="16" t="s">
        <v>1278</v>
      </c>
      <c r="D4" s="16" t="s">
        <v>1279</v>
      </c>
      <c r="E4" s="16" t="s">
        <v>1280</v>
      </c>
      <c r="F4" s="16" t="s">
        <v>1281</v>
      </c>
      <c r="G4" s="16" t="s">
        <v>1282</v>
      </c>
    </row>
    <row r="5" customFormat="false" ht="15" hidden="false" customHeight="false" outlineLevel="0" collapsed="false">
      <c r="A5" s="17" t="s">
        <v>1283</v>
      </c>
      <c r="B5" s="18"/>
      <c r="C5" s="18"/>
      <c r="D5" s="18"/>
      <c r="E5" s="18"/>
      <c r="F5" s="18"/>
      <c r="G5" s="18"/>
    </row>
    <row r="6" customFormat="false" ht="15" hidden="false" customHeight="false" outlineLevel="0" collapsed="false">
      <c r="A6" s="5" t="s">
        <v>1284</v>
      </c>
      <c r="B6" s="5" t="s">
        <v>108</v>
      </c>
      <c r="C6" s="33" t="n">
        <v>3400</v>
      </c>
      <c r="D6" s="33" t="n">
        <v>3600</v>
      </c>
      <c r="E6" s="34" t="n">
        <f aca="false">C6*Escalation!$B$20*Settings!$B$4*Settings!$B$9</f>
        <v>3568.26074736617</v>
      </c>
      <c r="F6" s="34" t="n">
        <f aca="false">D6*Escalation!$B$20*Settings!$B$4*Settings!$B$9</f>
        <v>3778.15843838771</v>
      </c>
      <c r="G6" s="35" t="n">
        <f aca="false">AVERAGE(E6:F6)</f>
        <v>3673.20959287694</v>
      </c>
    </row>
    <row r="7" customFormat="false" ht="15" hidden="false" customHeight="false" outlineLevel="0" collapsed="false">
      <c r="A7" s="5" t="s">
        <v>1285</v>
      </c>
      <c r="B7" s="5" t="s">
        <v>108</v>
      </c>
      <c r="C7" s="33" t="n">
        <v>4300</v>
      </c>
      <c r="D7" s="33" t="n">
        <v>7400</v>
      </c>
      <c r="E7" s="34" t="n">
        <f aca="false">C7*Escalation!$B$20*Settings!$B$4*Settings!$B$9</f>
        <v>4512.8003569631</v>
      </c>
      <c r="F7" s="34" t="n">
        <f aca="false">D7*Escalation!$B$20*Settings!$B$4*Settings!$B$9</f>
        <v>7766.21456779695</v>
      </c>
      <c r="G7" s="35" t="n">
        <f aca="false">AVERAGE(E7:F7)</f>
        <v>6139.50746238002</v>
      </c>
    </row>
    <row r="8" customFormat="false" ht="15" hidden="false" customHeight="false" outlineLevel="0" collapsed="false">
      <c r="A8" s="5" t="s">
        <v>1286</v>
      </c>
      <c r="B8" s="5" t="s">
        <v>108</v>
      </c>
      <c r="C8" s="33" t="n">
        <v>7920</v>
      </c>
      <c r="D8" s="33" t="n">
        <v>7920</v>
      </c>
      <c r="E8" s="34" t="n">
        <f aca="false">C8*Escalation!$B$20*Settings!$B$4*Settings!$B$9</f>
        <v>8311.94856445296</v>
      </c>
      <c r="F8" s="34" t="n">
        <f aca="false">D8*Escalation!$B$20*Settings!$B$4*Settings!$B$9</f>
        <v>8311.94856445296</v>
      </c>
      <c r="G8" s="35" t="n">
        <f aca="false">AVERAGE(E8:F8)</f>
        <v>8311.94856445296</v>
      </c>
    </row>
    <row r="9" customFormat="false" ht="15" hidden="false" customHeight="false" outlineLevel="0" collapsed="false">
      <c r="A9" s="5" t="s">
        <v>1287</v>
      </c>
      <c r="B9" s="5" t="s">
        <v>108</v>
      </c>
      <c r="C9" s="33" t="n">
        <v>9850</v>
      </c>
      <c r="D9" s="33" t="n">
        <v>9850</v>
      </c>
      <c r="E9" s="34" t="n">
        <f aca="false">C9*Escalation!$B$20*Settings!$B$4*Settings!$B$9</f>
        <v>10337.4612828108</v>
      </c>
      <c r="F9" s="34" t="n">
        <f aca="false">D9*Escalation!$B$20*Settings!$B$4*Settings!$B$9</f>
        <v>10337.4612828108</v>
      </c>
      <c r="G9" s="35" t="n">
        <f aca="false">AVERAGE(E9:F9)</f>
        <v>10337.4612828108</v>
      </c>
    </row>
    <row r="10" customFormat="false" ht="15" hidden="false" customHeight="false" outlineLevel="0" collapsed="false">
      <c r="A10" s="5" t="s">
        <v>1288</v>
      </c>
      <c r="B10" s="5" t="s">
        <v>108</v>
      </c>
      <c r="C10" s="33" t="n">
        <v>11830</v>
      </c>
      <c r="D10" s="33" t="n">
        <v>11830</v>
      </c>
      <c r="E10" s="34" t="n">
        <f aca="false">C10*Escalation!$B$20*Settings!$B$4*Settings!$B$9</f>
        <v>12415.448423924</v>
      </c>
      <c r="F10" s="34" t="n">
        <f aca="false">D10*Escalation!$B$20*Settings!$B$4*Settings!$B$9</f>
        <v>12415.448423924</v>
      </c>
      <c r="G10" s="35" t="n">
        <f aca="false">AVERAGE(E10:F10)</f>
        <v>12415.448423924</v>
      </c>
    </row>
    <row r="11" customFormat="false" ht="15" hidden="false" customHeight="false" outlineLevel="0" collapsed="false">
      <c r="A11" s="5" t="s">
        <v>1289</v>
      </c>
      <c r="B11" s="5" t="s">
        <v>108</v>
      </c>
      <c r="C11" s="33" t="n">
        <v>16350</v>
      </c>
      <c r="D11" s="33" t="n">
        <v>16350</v>
      </c>
      <c r="E11" s="34" t="n">
        <f aca="false">C11*Escalation!$B$20*Settings!$B$4*Settings!$B$9</f>
        <v>17159.1362410108</v>
      </c>
      <c r="F11" s="34" t="n">
        <f aca="false">D11*Escalation!$B$20*Settings!$B$4*Settings!$B$9</f>
        <v>17159.1362410108</v>
      </c>
      <c r="G11" s="35" t="n">
        <f aca="false">AVERAGE(E11:F11)</f>
        <v>17159.1362410108</v>
      </c>
    </row>
    <row r="12" customFormat="false" ht="15" hidden="false" customHeight="false" outlineLevel="0" collapsed="false">
      <c r="A12" s="5" t="s">
        <v>1290</v>
      </c>
      <c r="B12" s="5" t="s">
        <v>108</v>
      </c>
      <c r="C12" s="33" t="n">
        <v>26450</v>
      </c>
      <c r="D12" s="33" t="n">
        <v>26450</v>
      </c>
      <c r="E12" s="34" t="n">
        <f aca="false">C12*Escalation!$B$20*Settings!$B$4*Settings!$B$9</f>
        <v>27758.9696375986</v>
      </c>
      <c r="F12" s="34" t="n">
        <f aca="false">D12*Escalation!$B$20*Settings!$B$4*Settings!$B$9</f>
        <v>27758.9696375986</v>
      </c>
      <c r="G12" s="35" t="n">
        <f aca="false">AVERAGE(E12:F12)</f>
        <v>27758.9696375986</v>
      </c>
    </row>
    <row r="13" customFormat="false" ht="15" hidden="false" customHeight="false" outlineLevel="0" collapsed="false">
      <c r="A13" s="5" t="s">
        <v>1291</v>
      </c>
      <c r="B13" s="5" t="s">
        <v>108</v>
      </c>
      <c r="C13" s="33" t="n">
        <v>38000</v>
      </c>
      <c r="D13" s="33" t="n">
        <v>80000</v>
      </c>
      <c r="E13" s="34" t="n">
        <f aca="false">C13*Escalation!$B$20*Settings!$B$4*Settings!$B$9</f>
        <v>39880.5612940925</v>
      </c>
      <c r="F13" s="34" t="n">
        <f aca="false">D13*Escalation!$B$20*Settings!$B$4*Settings!$B$9</f>
        <v>83959.0764086157</v>
      </c>
      <c r="G13" s="35" t="n">
        <f aca="false">AVERAGE(E13:F13)</f>
        <v>61919.8188513541</v>
      </c>
    </row>
    <row r="14" customFormat="false" ht="15" hidden="false" customHeight="false" outlineLevel="0" collapsed="false">
      <c r="A14" s="5" t="s">
        <v>1292</v>
      </c>
      <c r="B14" s="5" t="s">
        <v>108</v>
      </c>
      <c r="C14" s="33" t="n">
        <v>7400</v>
      </c>
      <c r="D14" s="33" t="n">
        <v>7400</v>
      </c>
      <c r="E14" s="34" t="n">
        <f aca="false">C14*Escalation!$B$20*Settings!$B$4*Settings!$B$9</f>
        <v>7766.21456779695</v>
      </c>
      <c r="F14" s="34" t="n">
        <f aca="false">D14*Escalation!$B$20*Settings!$B$4*Settings!$B$9</f>
        <v>7766.21456779695</v>
      </c>
      <c r="G14" s="35" t="n">
        <f aca="false">AVERAGE(E14:F14)</f>
        <v>7766.21456779695</v>
      </c>
    </row>
    <row r="15" customFormat="false" ht="15" hidden="false" customHeight="false" outlineLevel="0" collapsed="false">
      <c r="A15" s="5" t="s">
        <v>1293</v>
      </c>
      <c r="B15" s="5" t="s">
        <v>108</v>
      </c>
      <c r="C15" s="33" t="n">
        <v>10400</v>
      </c>
      <c r="D15" s="33" t="n">
        <v>10400</v>
      </c>
      <c r="E15" s="34" t="n">
        <f aca="false">C15*Escalation!$B$20*Settings!$B$4*Settings!$B$9</f>
        <v>10914.67993312</v>
      </c>
      <c r="F15" s="34" t="n">
        <f aca="false">D15*Escalation!$B$20*Settings!$B$4*Settings!$B$9</f>
        <v>10914.67993312</v>
      </c>
      <c r="G15" s="35" t="n">
        <f aca="false">AVERAGE(E15:F15)</f>
        <v>10914.67993312</v>
      </c>
    </row>
    <row r="16" customFormat="false" ht="15" hidden="false" customHeight="false" outlineLevel="0" collapsed="false">
      <c r="A16" s="5" t="s">
        <v>1294</v>
      </c>
      <c r="B16" s="5" t="s">
        <v>108</v>
      </c>
      <c r="C16" s="33" t="n">
        <v>10300</v>
      </c>
      <c r="D16" s="33" t="n">
        <v>14300</v>
      </c>
      <c r="E16" s="34" t="n">
        <f aca="false">C16*Escalation!$B$20*Settings!$B$4*Settings!$B$9</f>
        <v>10809.7310876093</v>
      </c>
      <c r="F16" s="34" t="n">
        <f aca="false">D16*Escalation!$B$20*Settings!$B$4*Settings!$B$9</f>
        <v>15007.6849080401</v>
      </c>
      <c r="G16" s="35" t="n">
        <f aca="false">AVERAGE(E16:F16)</f>
        <v>12908.7079978247</v>
      </c>
    </row>
    <row r="17" customFormat="false" ht="15" hidden="false" customHeight="false" outlineLevel="0" collapsed="false">
      <c r="A17" s="5" t="s">
        <v>1295</v>
      </c>
      <c r="B17" s="5" t="s">
        <v>108</v>
      </c>
      <c r="C17" s="33" t="n">
        <v>10300</v>
      </c>
      <c r="D17" s="33" t="n">
        <v>14700</v>
      </c>
      <c r="E17" s="34" t="n">
        <f aca="false">C17*Escalation!$B$20*Settings!$B$4*Settings!$B$9</f>
        <v>10809.7310876093</v>
      </c>
      <c r="F17" s="34" t="n">
        <f aca="false">D17*Escalation!$B$20*Settings!$B$4*Settings!$B$9</f>
        <v>15427.4802900831</v>
      </c>
      <c r="G17" s="35" t="n">
        <f aca="false">AVERAGE(E17:F17)</f>
        <v>13118.6056888462</v>
      </c>
    </row>
    <row r="18" customFormat="false" ht="15" hidden="false" customHeight="false" outlineLevel="0" collapsed="false">
      <c r="A18" s="5" t="s">
        <v>1296</v>
      </c>
      <c r="B18" s="5" t="s">
        <v>108</v>
      </c>
      <c r="C18" s="33" t="n">
        <v>20000</v>
      </c>
      <c r="D18" s="33" t="n">
        <v>30000</v>
      </c>
      <c r="E18" s="34" t="n">
        <f aca="false">C18*Escalation!$B$20*Settings!$B$4*Settings!$B$9</f>
        <v>20989.7691021539</v>
      </c>
      <c r="F18" s="34" t="n">
        <f aca="false">D18*Escalation!$B$20*Settings!$B$4*Settings!$B$9</f>
        <v>31484.6536532309</v>
      </c>
      <c r="G18" s="35" t="n">
        <f aca="false">AVERAGE(E18:F18)</f>
        <v>26237.2113776924</v>
      </c>
    </row>
    <row r="19" customFormat="false" ht="15" hidden="false" customHeight="false" outlineLevel="0" collapsed="false">
      <c r="A19" s="5" t="s">
        <v>1297</v>
      </c>
      <c r="B19" s="5" t="s">
        <v>108</v>
      </c>
      <c r="C19" s="33" t="n">
        <v>16000</v>
      </c>
      <c r="D19" s="33" t="n">
        <v>17500</v>
      </c>
      <c r="E19" s="34" t="n">
        <f aca="false">C19*Escalation!$B$20*Settings!$B$4*Settings!$B$9</f>
        <v>16791.8152817231</v>
      </c>
      <c r="F19" s="34" t="n">
        <f aca="false">D19*Escalation!$B$20*Settings!$B$4*Settings!$B$9</f>
        <v>18366.0479643847</v>
      </c>
      <c r="G19" s="35" t="n">
        <f aca="false">AVERAGE(E19:F19)</f>
        <v>17578.9316230539</v>
      </c>
    </row>
    <row r="20" customFormat="false" ht="15" hidden="false" customHeight="false" outlineLevel="0" collapsed="false">
      <c r="A20" s="5" t="s">
        <v>1298</v>
      </c>
      <c r="B20" s="5" t="s">
        <v>108</v>
      </c>
      <c r="C20" s="33" t="n">
        <v>11600</v>
      </c>
      <c r="D20" s="33" t="n">
        <v>11600</v>
      </c>
      <c r="E20" s="34" t="n">
        <f aca="false">C20*Escalation!$B$20*Settings!$B$4*Settings!$B$9</f>
        <v>12174.0660792493</v>
      </c>
      <c r="F20" s="34" t="n">
        <f aca="false">D20*Escalation!$B$20*Settings!$B$4*Settings!$B$9</f>
        <v>12174.0660792493</v>
      </c>
      <c r="G20" s="35" t="n">
        <f aca="false">AVERAGE(E20:F20)</f>
        <v>12174.0660792493</v>
      </c>
    </row>
    <row r="21" customFormat="false" ht="15" hidden="false" customHeight="false" outlineLevel="0" collapsed="false">
      <c r="A21" s="5" t="s">
        <v>1299</v>
      </c>
      <c r="B21" s="5" t="s">
        <v>108</v>
      </c>
      <c r="C21" s="33" t="n">
        <v>12000</v>
      </c>
      <c r="D21" s="33" t="n">
        <v>12000</v>
      </c>
      <c r="E21" s="34" t="n">
        <f aca="false">C21*Escalation!$B$20*Settings!$B$4*Settings!$B$9</f>
        <v>12593.8614612924</v>
      </c>
      <c r="F21" s="34" t="n">
        <f aca="false">D21*Escalation!$B$20*Settings!$B$4*Settings!$B$9</f>
        <v>12593.8614612924</v>
      </c>
      <c r="G21" s="35" t="n">
        <f aca="false">AVERAGE(E21:F21)</f>
        <v>12593.8614612924</v>
      </c>
    </row>
    <row r="22" customFormat="false" ht="15" hidden="false" customHeight="false" outlineLevel="0" collapsed="false">
      <c r="A22" s="5" t="s">
        <v>1300</v>
      </c>
      <c r="B22" s="5" t="s">
        <v>108</v>
      </c>
      <c r="C22" s="33" t="n">
        <v>18600</v>
      </c>
      <c r="D22" s="33" t="n">
        <v>18600</v>
      </c>
      <c r="E22" s="34" t="n">
        <f aca="false">C22*Escalation!$B$20*Settings!$B$4*Settings!$B$9</f>
        <v>19520.4852650032</v>
      </c>
      <c r="F22" s="34" t="n">
        <f aca="false">D22*Escalation!$B$20*Settings!$B$4*Settings!$B$9</f>
        <v>19520.4852650032</v>
      </c>
      <c r="G22" s="35" t="n">
        <f aca="false">AVERAGE(E22:F22)</f>
        <v>19520.4852650032</v>
      </c>
    </row>
    <row r="23" customFormat="false" ht="15" hidden="false" customHeight="false" outlineLevel="0" collapsed="false">
      <c r="A23" s="5" t="s">
        <v>1301</v>
      </c>
      <c r="B23" s="5" t="s">
        <v>1302</v>
      </c>
      <c r="C23" s="33" t="n">
        <v>71000</v>
      </c>
      <c r="D23" s="33" t="n">
        <v>114000</v>
      </c>
      <c r="E23" s="34" t="n">
        <f aca="false">C23*Escalation!$B$20*Settings!$B$4*Settings!$B$9</f>
        <v>74513.6803126465</v>
      </c>
      <c r="F23" s="34" t="n">
        <f aca="false">D23*Escalation!$B$20*Settings!$B$4*Settings!$B$9</f>
        <v>119641.683882277</v>
      </c>
      <c r="G23" s="35" t="n">
        <f aca="false">AVERAGE(E23:F23)</f>
        <v>97077.6820974619</v>
      </c>
    </row>
    <row r="24" customFormat="false" ht="15" hidden="false" customHeight="false" outlineLevel="0" collapsed="false">
      <c r="A24" s="5" t="s">
        <v>1303</v>
      </c>
      <c r="B24" s="5" t="s">
        <v>96</v>
      </c>
      <c r="C24" s="33" t="n">
        <v>6300</v>
      </c>
      <c r="D24" s="33" t="n">
        <v>6300</v>
      </c>
      <c r="E24" s="34" t="n">
        <f aca="false">C24*Escalation!$B$20*Settings!$B$4*Settings!$B$9</f>
        <v>6611.77726717849</v>
      </c>
      <c r="F24" s="34" t="n">
        <f aca="false">D24*Escalation!$B$20*Settings!$B$4*Settings!$B$9</f>
        <v>6611.77726717849</v>
      </c>
      <c r="G24" s="35" t="n">
        <f aca="false">AVERAGE(E24:F24)</f>
        <v>6611.77726717849</v>
      </c>
    </row>
    <row r="25" customFormat="false" ht="15" hidden="false" customHeight="false" outlineLevel="0" collapsed="false">
      <c r="A25" s="5" t="s">
        <v>1304</v>
      </c>
      <c r="B25" s="5" t="s">
        <v>96</v>
      </c>
      <c r="C25" s="33" t="n">
        <v>12800</v>
      </c>
      <c r="D25" s="33" t="n">
        <v>12800</v>
      </c>
      <c r="E25" s="34" t="n">
        <f aca="false">C25*Escalation!$B$20*Settings!$B$4*Settings!$B$9</f>
        <v>13433.4522253785</v>
      </c>
      <c r="F25" s="34" t="n">
        <f aca="false">D25*Escalation!$B$20*Settings!$B$4*Settings!$B$9</f>
        <v>13433.4522253785</v>
      </c>
      <c r="G25" s="35" t="n">
        <f aca="false">AVERAGE(E25:F25)</f>
        <v>13433.4522253785</v>
      </c>
    </row>
    <row r="26" customFormat="false" ht="15" hidden="false" customHeight="false" outlineLevel="0" collapsed="false">
      <c r="A26" s="5" t="s">
        <v>1305</v>
      </c>
      <c r="B26" s="5" t="s">
        <v>96</v>
      </c>
      <c r="C26" s="33" t="n">
        <v>10000</v>
      </c>
      <c r="D26" s="33" t="n">
        <v>10000</v>
      </c>
      <c r="E26" s="34" t="n">
        <f aca="false">C26*Escalation!$B$20*Settings!$B$4*Settings!$B$9</f>
        <v>10494.884551077</v>
      </c>
      <c r="F26" s="34" t="n">
        <f aca="false">D26*Escalation!$B$20*Settings!$B$4*Settings!$B$9</f>
        <v>10494.884551077</v>
      </c>
      <c r="G26" s="35" t="n">
        <f aca="false">AVERAGE(E26:F26)</f>
        <v>10494.884551077</v>
      </c>
    </row>
    <row r="27" customFormat="false" ht="15" hidden="false" customHeight="false" outlineLevel="0" collapsed="false">
      <c r="A27" s="5" t="s">
        <v>1306</v>
      </c>
      <c r="B27" s="5" t="s">
        <v>96</v>
      </c>
      <c r="C27" s="33" t="n">
        <v>19500</v>
      </c>
      <c r="D27" s="33" t="n">
        <v>19500</v>
      </c>
      <c r="E27" s="34" t="n">
        <f aca="false">C27*Escalation!$B$20*Settings!$B$4*Settings!$B$9</f>
        <v>20465.0248746001</v>
      </c>
      <c r="F27" s="34" t="n">
        <f aca="false">D27*Escalation!$B$20*Settings!$B$4*Settings!$B$9</f>
        <v>20465.0248746001</v>
      </c>
      <c r="G27" s="35" t="n">
        <f aca="false">AVERAGE(E27:F27)</f>
        <v>20465.0248746001</v>
      </c>
    </row>
    <row r="28" customFormat="false" ht="15" hidden="false" customHeight="false" outlineLevel="0" collapsed="false">
      <c r="A28" s="5" t="s">
        <v>1307</v>
      </c>
      <c r="B28" s="5" t="s">
        <v>96</v>
      </c>
      <c r="C28" s="33" t="n">
        <v>135000</v>
      </c>
      <c r="D28" s="33" t="n">
        <v>135000</v>
      </c>
      <c r="E28" s="34" t="n">
        <f aca="false">C28*Escalation!$B$20*Settings!$B$4*Settings!$B$9</f>
        <v>141680.941439539</v>
      </c>
      <c r="F28" s="34" t="n">
        <f aca="false">D28*Escalation!$B$20*Settings!$B$4*Settings!$B$9</f>
        <v>141680.941439539</v>
      </c>
      <c r="G28" s="35" t="n">
        <f aca="false">AVERAGE(E28:F28)</f>
        <v>141680.941439539</v>
      </c>
    </row>
    <row r="29" customFormat="false" ht="15" hidden="false" customHeight="false" outlineLevel="0" collapsed="false">
      <c r="A29" s="5" t="s">
        <v>1308</v>
      </c>
      <c r="B29" s="5" t="s">
        <v>96</v>
      </c>
      <c r="C29" s="33" t="n">
        <v>240000</v>
      </c>
      <c r="D29" s="33" t="n">
        <v>240000</v>
      </c>
      <c r="E29" s="34" t="n">
        <f aca="false">C29*Escalation!$B$20*Settings!$B$4*Settings!$B$9</f>
        <v>251877.229225847</v>
      </c>
      <c r="F29" s="34" t="n">
        <f aca="false">D29*Escalation!$B$20*Settings!$B$4*Settings!$B$9</f>
        <v>251877.229225847</v>
      </c>
      <c r="G29" s="35" t="n">
        <f aca="false">AVERAGE(E29:F29)</f>
        <v>251877.229225847</v>
      </c>
    </row>
    <row r="30" customFormat="false" ht="15" hidden="false" customHeight="false" outlineLevel="0" collapsed="false">
      <c r="A30" s="5" t="s">
        <v>1309</v>
      </c>
      <c r="B30" s="5" t="s">
        <v>96</v>
      </c>
      <c r="C30" s="33" t="n">
        <v>710000</v>
      </c>
      <c r="D30" s="33" t="n">
        <v>710000</v>
      </c>
      <c r="E30" s="34" t="n">
        <f aca="false">C30*Escalation!$B$20*Settings!$B$4*Settings!$B$9</f>
        <v>745136.803126465</v>
      </c>
      <c r="F30" s="34" t="n">
        <f aca="false">D30*Escalation!$B$20*Settings!$B$4*Settings!$B$9</f>
        <v>745136.803126465</v>
      </c>
      <c r="G30" s="35" t="n">
        <f aca="false">AVERAGE(E30:F30)</f>
        <v>745136.803126465</v>
      </c>
    </row>
    <row r="31" customFormat="false" ht="15" hidden="false" customHeight="false" outlineLevel="0" collapsed="false">
      <c r="A31" s="17" t="s">
        <v>1310</v>
      </c>
      <c r="B31" s="18"/>
      <c r="C31" s="18"/>
      <c r="D31" s="18"/>
      <c r="E31" s="18"/>
      <c r="F31" s="18"/>
      <c r="G31" s="18"/>
    </row>
    <row r="32" customFormat="false" ht="15" hidden="false" customHeight="false" outlineLevel="0" collapsed="false">
      <c r="A32" s="5" t="s">
        <v>1311</v>
      </c>
      <c r="B32" s="5" t="s">
        <v>108</v>
      </c>
      <c r="C32" s="33" t="n">
        <v>11300</v>
      </c>
      <c r="D32" s="33" t="n">
        <v>13900</v>
      </c>
      <c r="E32" s="34" t="n">
        <f aca="false">C32*Escalation!$B$20*Settings!$B$4*Settings!$B$9</f>
        <v>11859.219542717</v>
      </c>
      <c r="F32" s="34" t="n">
        <f aca="false">D32*Escalation!$B$20*Settings!$B$4*Settings!$B$9</f>
        <v>14587.889525997</v>
      </c>
      <c r="G32" s="35" t="n">
        <f aca="false">AVERAGE(E32:F32)</f>
        <v>13223.554534357</v>
      </c>
    </row>
    <row r="33" customFormat="false" ht="15" hidden="false" customHeight="false" outlineLevel="0" collapsed="false">
      <c r="A33" s="5" t="s">
        <v>1312</v>
      </c>
      <c r="B33" s="5" t="s">
        <v>108</v>
      </c>
      <c r="C33" s="33" t="n">
        <v>14600</v>
      </c>
      <c r="D33" s="33" t="n">
        <v>21700</v>
      </c>
      <c r="E33" s="34" t="n">
        <f aca="false">C33*Escalation!$B$20*Settings!$B$4*Settings!$B$9</f>
        <v>15322.5314445724</v>
      </c>
      <c r="F33" s="34" t="n">
        <f aca="false">D33*Escalation!$B$20*Settings!$B$4*Settings!$B$9</f>
        <v>22773.899475837</v>
      </c>
      <c r="G33" s="35" t="n">
        <f aca="false">AVERAGE(E33:F33)</f>
        <v>19048.2154602047</v>
      </c>
    </row>
    <row r="34" customFormat="false" ht="15" hidden="false" customHeight="false" outlineLevel="0" collapsed="false">
      <c r="A34" s="5" t="s">
        <v>1313</v>
      </c>
      <c r="B34" s="5" t="s">
        <v>108</v>
      </c>
      <c r="C34" s="33" t="n">
        <v>16400</v>
      </c>
      <c r="D34" s="33" t="n">
        <v>21700</v>
      </c>
      <c r="E34" s="34" t="n">
        <f aca="false">C34*Escalation!$B$20*Settings!$B$4*Settings!$B$9</f>
        <v>17211.6106637662</v>
      </c>
      <c r="F34" s="34" t="n">
        <f aca="false">D34*Escalation!$B$20*Settings!$B$4*Settings!$B$9</f>
        <v>22773.899475837</v>
      </c>
      <c r="G34" s="35" t="n">
        <f aca="false">AVERAGE(E34:F34)</f>
        <v>19992.7550698016</v>
      </c>
    </row>
    <row r="35" customFormat="false" ht="15" hidden="false" customHeight="false" outlineLevel="0" collapsed="false">
      <c r="A35" s="5" t="s">
        <v>1314</v>
      </c>
      <c r="B35" s="5" t="s">
        <v>108</v>
      </c>
      <c r="C35" s="33" t="n">
        <v>21700</v>
      </c>
      <c r="D35" s="33" t="n">
        <v>27400</v>
      </c>
      <c r="E35" s="34" t="n">
        <f aca="false">C35*Escalation!$B$20*Settings!$B$4*Settings!$B$9</f>
        <v>22773.899475837</v>
      </c>
      <c r="F35" s="34" t="n">
        <f aca="false">D35*Escalation!$B$20*Settings!$B$4*Settings!$B$9</f>
        <v>28755.9836699509</v>
      </c>
      <c r="G35" s="35" t="n">
        <f aca="false">AVERAGE(E35:F35)</f>
        <v>25764.9415728939</v>
      </c>
    </row>
    <row r="36" customFormat="false" ht="15" hidden="false" customHeight="false" outlineLevel="0" collapsed="false">
      <c r="A36" s="5" t="s">
        <v>1315</v>
      </c>
      <c r="B36" s="5" t="s">
        <v>108</v>
      </c>
      <c r="C36" s="33" t="n">
        <v>11100</v>
      </c>
      <c r="D36" s="33" t="n">
        <v>14600</v>
      </c>
      <c r="E36" s="34" t="n">
        <f aca="false">C36*Escalation!$B$20*Settings!$B$4*Settings!$B$9</f>
        <v>11649.3218516954</v>
      </c>
      <c r="F36" s="34" t="n">
        <f aca="false">D36*Escalation!$B$20*Settings!$B$4*Settings!$B$9</f>
        <v>15322.5314445724</v>
      </c>
      <c r="G36" s="35" t="n">
        <f aca="false">AVERAGE(E36:F36)</f>
        <v>13485.9266481339</v>
      </c>
    </row>
    <row r="37" customFormat="false" ht="15" hidden="false" customHeight="false" outlineLevel="0" collapsed="false">
      <c r="A37" s="5" t="s">
        <v>1316</v>
      </c>
      <c r="B37" s="5" t="s">
        <v>108</v>
      </c>
      <c r="C37" s="33" t="n">
        <v>12100</v>
      </c>
      <c r="D37" s="33" t="n">
        <v>16100</v>
      </c>
      <c r="E37" s="34" t="n">
        <f aca="false">C37*Escalation!$B$20*Settings!$B$4*Settings!$B$9</f>
        <v>12698.8103068031</v>
      </c>
      <c r="F37" s="34" t="n">
        <f aca="false">D37*Escalation!$B$20*Settings!$B$4*Settings!$B$9</f>
        <v>16896.7641272339</v>
      </c>
      <c r="G37" s="35" t="n">
        <f aca="false">AVERAGE(E37:F37)</f>
        <v>14797.7872170185</v>
      </c>
    </row>
    <row r="38" customFormat="false" ht="15" hidden="false" customHeight="false" outlineLevel="0" collapsed="false">
      <c r="A38" s="5" t="s">
        <v>1317</v>
      </c>
      <c r="B38" s="5" t="s">
        <v>108</v>
      </c>
      <c r="C38" s="33" t="n">
        <v>13300</v>
      </c>
      <c r="D38" s="33" t="n">
        <v>17100</v>
      </c>
      <c r="E38" s="34" t="n">
        <f aca="false">C38*Escalation!$B$20*Settings!$B$4*Settings!$B$9</f>
        <v>13958.1964529324</v>
      </c>
      <c r="F38" s="34" t="n">
        <f aca="false">D38*Escalation!$B$20*Settings!$B$4*Settings!$B$9</f>
        <v>17946.2525823416</v>
      </c>
      <c r="G38" s="35" t="n">
        <f aca="false">AVERAGE(E38:F38)</f>
        <v>15952.224517637</v>
      </c>
    </row>
    <row r="39" customFormat="false" ht="15" hidden="false" customHeight="false" outlineLevel="0" collapsed="false">
      <c r="A39" s="5" t="s">
        <v>1318</v>
      </c>
      <c r="B39" s="5" t="s">
        <v>108</v>
      </c>
      <c r="C39" s="33" t="n">
        <v>19500</v>
      </c>
      <c r="D39" s="33" t="n">
        <v>28000</v>
      </c>
      <c r="E39" s="34" t="n">
        <f aca="false">C39*Escalation!$B$20*Settings!$B$4*Settings!$B$9</f>
        <v>20465.0248746001</v>
      </c>
      <c r="F39" s="34" t="n">
        <f aca="false">D39*Escalation!$B$20*Settings!$B$4*Settings!$B$9</f>
        <v>29385.6767430155</v>
      </c>
      <c r="G39" s="35" t="n">
        <f aca="false">AVERAGE(E39:F39)</f>
        <v>24925.3508088078</v>
      </c>
    </row>
    <row r="40" customFormat="false" ht="15" hidden="false" customHeight="false" outlineLevel="0" collapsed="false">
      <c r="A40" s="5" t="s">
        <v>1319</v>
      </c>
      <c r="B40" s="5" t="s">
        <v>108</v>
      </c>
      <c r="C40" s="33" t="n">
        <v>36000</v>
      </c>
      <c r="D40" s="33" t="n">
        <v>46000</v>
      </c>
      <c r="E40" s="34" t="n">
        <f aca="false">C40*Escalation!$B$20*Settings!$B$4*Settings!$B$9</f>
        <v>37781.5843838771</v>
      </c>
      <c r="F40" s="34" t="n">
        <f aca="false">D40*Escalation!$B$20*Settings!$B$4*Settings!$B$9</f>
        <v>48276.468934954</v>
      </c>
      <c r="G40" s="35" t="n">
        <f aca="false">AVERAGE(E40:F40)</f>
        <v>43029.0266594156</v>
      </c>
    </row>
    <row r="41" customFormat="false" ht="15" hidden="false" customHeight="false" outlineLevel="0" collapsed="false">
      <c r="A41" s="17" t="s">
        <v>1320</v>
      </c>
      <c r="B41" s="18"/>
      <c r="C41" s="18"/>
      <c r="D41" s="18"/>
      <c r="E41" s="18"/>
      <c r="F41" s="18"/>
      <c r="G41" s="18"/>
    </row>
    <row r="42" customFormat="false" ht="15" hidden="false" customHeight="false" outlineLevel="0" collapsed="false">
      <c r="A42" s="5" t="s">
        <v>1321</v>
      </c>
      <c r="B42" s="5" t="s">
        <v>108</v>
      </c>
      <c r="C42" s="33" t="n">
        <v>5800</v>
      </c>
      <c r="D42" s="33" t="n">
        <v>7400</v>
      </c>
      <c r="E42" s="34" t="n">
        <f aca="false">C42*Escalation!$B$20*Settings!$B$4*Settings!$B$9</f>
        <v>6087.03303962464</v>
      </c>
      <c r="F42" s="34" t="n">
        <f aca="false">D42*Escalation!$B$20*Settings!$B$4*Settings!$B$9</f>
        <v>7766.21456779695</v>
      </c>
      <c r="G42" s="35" t="n">
        <f aca="false">AVERAGE(E42:F42)</f>
        <v>6926.6238037108</v>
      </c>
    </row>
    <row r="43" customFormat="false" ht="15" hidden="false" customHeight="false" outlineLevel="0" collapsed="false">
      <c r="A43" s="5" t="s">
        <v>1322</v>
      </c>
      <c r="B43" s="5" t="s">
        <v>108</v>
      </c>
      <c r="C43" s="33" t="n">
        <v>6500</v>
      </c>
      <c r="D43" s="33" t="n">
        <v>9300</v>
      </c>
      <c r="E43" s="34" t="n">
        <f aca="false">C43*Escalation!$B$20*Settings!$B$4*Settings!$B$9</f>
        <v>6821.67495820003</v>
      </c>
      <c r="F43" s="34" t="n">
        <f aca="false">D43*Escalation!$B$20*Settings!$B$4*Settings!$B$9</f>
        <v>9760.24263250158</v>
      </c>
      <c r="G43" s="35" t="n">
        <f aca="false">AVERAGE(E43:F43)</f>
        <v>8290.9587953508</v>
      </c>
    </row>
    <row r="44" customFormat="false" ht="15" hidden="false" customHeight="false" outlineLevel="0" collapsed="false">
      <c r="A44" s="5" t="s">
        <v>1323</v>
      </c>
      <c r="B44" s="5" t="s">
        <v>108</v>
      </c>
      <c r="C44" s="33" t="n">
        <v>10500</v>
      </c>
      <c r="D44" s="33" t="n">
        <v>13400</v>
      </c>
      <c r="E44" s="34" t="n">
        <f aca="false">C44*Escalation!$B$20*Settings!$B$4*Settings!$B$9</f>
        <v>11019.6287786308</v>
      </c>
      <c r="F44" s="34" t="n">
        <f aca="false">D44*Escalation!$B$20*Settings!$B$4*Settings!$B$9</f>
        <v>14063.1452984431</v>
      </c>
      <c r="G44" s="35" t="n">
        <f aca="false">AVERAGE(E44:F44)</f>
        <v>12541.387038537</v>
      </c>
    </row>
    <row r="45" customFormat="false" ht="15" hidden="false" customHeight="false" outlineLevel="0" collapsed="false">
      <c r="A45" s="5" t="s">
        <v>1324</v>
      </c>
      <c r="B45" s="5" t="s">
        <v>108</v>
      </c>
      <c r="C45" s="33" t="n">
        <v>19600</v>
      </c>
      <c r="D45" s="33" t="n">
        <v>27900</v>
      </c>
      <c r="E45" s="34" t="n">
        <f aca="false">C45*Escalation!$B$20*Settings!$B$4*Settings!$B$9</f>
        <v>20569.9737201109</v>
      </c>
      <c r="F45" s="34" t="n">
        <f aca="false">D45*Escalation!$B$20*Settings!$B$4*Settings!$B$9</f>
        <v>29280.7278975047</v>
      </c>
      <c r="G45" s="35" t="n">
        <f aca="false">AVERAGE(E45:F45)</f>
        <v>24925.3508088078</v>
      </c>
    </row>
    <row r="46" customFormat="false" ht="15" hidden="false" customHeight="false" outlineLevel="0" collapsed="false">
      <c r="A46" s="17" t="s">
        <v>1325</v>
      </c>
      <c r="B46" s="18"/>
      <c r="C46" s="18"/>
      <c r="D46" s="18"/>
      <c r="E46" s="18"/>
      <c r="F46" s="18"/>
      <c r="G46" s="18"/>
    </row>
    <row r="47" customFormat="false" ht="15" hidden="false" customHeight="false" outlineLevel="0" collapsed="false">
      <c r="A47" s="5" t="s">
        <v>1326</v>
      </c>
      <c r="B47" s="5" t="s">
        <v>108</v>
      </c>
      <c r="C47" s="33" t="n">
        <v>800</v>
      </c>
      <c r="D47" s="33" t="n">
        <v>1000</v>
      </c>
      <c r="E47" s="34" t="n">
        <f aca="false">C47*Escalation!$B$20*Settings!$B$4*Settings!$B$9</f>
        <v>839.590764086157</v>
      </c>
      <c r="F47" s="34" t="n">
        <f aca="false">D47*Escalation!$B$20*Settings!$B$4*Settings!$B$9</f>
        <v>1049.4884551077</v>
      </c>
      <c r="G47" s="35" t="n">
        <f aca="false">AVERAGE(E47:F47)</f>
        <v>944.539609596927</v>
      </c>
    </row>
    <row r="48" customFormat="false" ht="15" hidden="false" customHeight="false" outlineLevel="0" collapsed="false">
      <c r="A48" s="5" t="s">
        <v>1327</v>
      </c>
      <c r="B48" s="5" t="s">
        <v>108</v>
      </c>
      <c r="C48" s="33" t="n">
        <v>5500</v>
      </c>
      <c r="D48" s="33" t="n">
        <v>6100</v>
      </c>
      <c r="E48" s="34" t="n">
        <f aca="false">C48*Escalation!$B$20*Settings!$B$4*Settings!$B$9</f>
        <v>5772.18650309233</v>
      </c>
      <c r="F48" s="34" t="n">
        <f aca="false">D48*Escalation!$B$20*Settings!$B$4*Settings!$B$9</f>
        <v>6401.87957615695</v>
      </c>
      <c r="G48" s="35" t="n">
        <f aca="false">AVERAGE(E48:F48)</f>
        <v>6087.03303962464</v>
      </c>
    </row>
    <row r="49" customFormat="false" ht="15" hidden="false" customHeight="false" outlineLevel="0" collapsed="false">
      <c r="A49" s="5" t="s">
        <v>1328</v>
      </c>
      <c r="B49" s="5" t="s">
        <v>108</v>
      </c>
      <c r="C49" s="33" t="n">
        <v>6100</v>
      </c>
      <c r="D49" s="33" t="n">
        <v>8300</v>
      </c>
      <c r="E49" s="34" t="n">
        <f aca="false">C49*Escalation!$B$20*Settings!$B$4*Settings!$B$9</f>
        <v>6401.87957615695</v>
      </c>
      <c r="F49" s="34" t="n">
        <f aca="false">D49*Escalation!$B$20*Settings!$B$4*Settings!$B$9</f>
        <v>8710.75417739388</v>
      </c>
      <c r="G49" s="35" t="n">
        <f aca="false">AVERAGE(E49:F49)</f>
        <v>7556.31687677541</v>
      </c>
    </row>
    <row r="50" customFormat="false" ht="15" hidden="false" customHeight="false" outlineLevel="0" collapsed="false">
      <c r="A50" s="5" t="s">
        <v>1329</v>
      </c>
      <c r="B50" s="5" t="s">
        <v>108</v>
      </c>
      <c r="C50" s="33" t="n">
        <v>6500</v>
      </c>
      <c r="D50" s="33" t="n">
        <v>11300</v>
      </c>
      <c r="E50" s="34" t="n">
        <f aca="false">C50*Escalation!$B$20*Settings!$B$4*Settings!$B$9</f>
        <v>6821.67495820003</v>
      </c>
      <c r="F50" s="34" t="n">
        <f aca="false">D50*Escalation!$B$20*Settings!$B$4*Settings!$B$9</f>
        <v>11859.219542717</v>
      </c>
      <c r="G50" s="35" t="n">
        <f aca="false">AVERAGE(E50:F50)</f>
        <v>9340.4472504585</v>
      </c>
    </row>
    <row r="51" customFormat="false" ht="15" hidden="false" customHeight="false" outlineLevel="0" collapsed="false">
      <c r="A51" s="17" t="s">
        <v>1330</v>
      </c>
      <c r="B51" s="18"/>
      <c r="C51" s="18"/>
      <c r="D51" s="18"/>
      <c r="E51" s="18"/>
      <c r="F51" s="18"/>
      <c r="G51" s="18"/>
    </row>
    <row r="52" customFormat="false" ht="15" hidden="false" customHeight="false" outlineLevel="0" collapsed="false">
      <c r="A52" s="5" t="s">
        <v>1331</v>
      </c>
      <c r="B52" s="5" t="s">
        <v>108</v>
      </c>
      <c r="C52" s="33" t="n">
        <v>9300</v>
      </c>
      <c r="D52" s="33" t="n">
        <v>10700</v>
      </c>
      <c r="E52" s="34" t="n">
        <f aca="false">C52*Escalation!$B$20*Settings!$B$4*Settings!$B$9</f>
        <v>9760.24263250158</v>
      </c>
      <c r="F52" s="34" t="n">
        <f aca="false">D52*Escalation!$B$20*Settings!$B$4*Settings!$B$9</f>
        <v>11229.5264696524</v>
      </c>
      <c r="G52" s="35" t="n">
        <f aca="false">AVERAGE(E52:F52)</f>
        <v>10494.884551077</v>
      </c>
    </row>
    <row r="53" customFormat="false" ht="15" hidden="false" customHeight="false" outlineLevel="0" collapsed="false">
      <c r="A53" s="5" t="s">
        <v>1332</v>
      </c>
      <c r="B53" s="5" t="s">
        <v>108</v>
      </c>
      <c r="C53" s="33" t="n">
        <v>11100</v>
      </c>
      <c r="D53" s="33" t="n">
        <v>11900</v>
      </c>
      <c r="E53" s="34" t="n">
        <f aca="false">C53*Escalation!$B$20*Settings!$B$4*Settings!$B$9</f>
        <v>11649.3218516954</v>
      </c>
      <c r="F53" s="34" t="n">
        <f aca="false">D53*Escalation!$B$20*Settings!$B$4*Settings!$B$9</f>
        <v>12488.9126157816</v>
      </c>
      <c r="G53" s="35" t="n">
        <f aca="false">AVERAGE(E53:F53)</f>
        <v>12069.1172337385</v>
      </c>
    </row>
    <row r="54" customFormat="false" ht="15" hidden="false" customHeight="false" outlineLevel="0" collapsed="false">
      <c r="A54" s="5" t="s">
        <v>1333</v>
      </c>
      <c r="B54" s="5" t="s">
        <v>108</v>
      </c>
      <c r="C54" s="33" t="n">
        <v>39000</v>
      </c>
      <c r="D54" s="33" t="n">
        <v>39000</v>
      </c>
      <c r="E54" s="34" t="n">
        <f aca="false">C54*Escalation!$B$20*Settings!$B$4*Settings!$B$9</f>
        <v>40930.0497492002</v>
      </c>
      <c r="F54" s="34" t="n">
        <f aca="false">D54*Escalation!$B$20*Settings!$B$4*Settings!$B$9</f>
        <v>40930.0497492002</v>
      </c>
      <c r="G54" s="35" t="n">
        <f aca="false">AVERAGE(E54:F54)</f>
        <v>40930.0497492002</v>
      </c>
    </row>
    <row r="55" customFormat="false" ht="15" hidden="false" customHeight="false" outlineLevel="0" collapsed="false">
      <c r="A55" s="5" t="s">
        <v>1334</v>
      </c>
      <c r="B55" s="5" t="s">
        <v>1335</v>
      </c>
      <c r="C55" s="33" t="n">
        <v>890000</v>
      </c>
      <c r="D55" s="33" t="n">
        <v>1400000</v>
      </c>
      <c r="E55" s="34" t="n">
        <f aca="false">C55*Escalation!$B$20*Settings!$B$4*Settings!$B$9</f>
        <v>934044.72504585</v>
      </c>
      <c r="F55" s="34" t="n">
        <f aca="false">D55*Escalation!$B$20*Settings!$B$4*Settings!$B$9</f>
        <v>1469283.83715078</v>
      </c>
      <c r="G55" s="35" t="n">
        <f aca="false">AVERAGE(E55:F55)</f>
        <v>1201664.28109831</v>
      </c>
    </row>
    <row r="56" customFormat="false" ht="15" hidden="false" customHeight="false" outlineLevel="0" collapsed="false">
      <c r="A56" s="5" t="s">
        <v>1336</v>
      </c>
      <c r="B56" s="5" t="s">
        <v>1335</v>
      </c>
      <c r="C56" s="33" t="n">
        <v>1401000</v>
      </c>
      <c r="D56" s="33" t="n">
        <v>2100000</v>
      </c>
      <c r="E56" s="34" t="n">
        <f aca="false">C56*Escalation!$B$20*Settings!$B$4*Settings!$B$9</f>
        <v>1470333.32560588</v>
      </c>
      <c r="F56" s="34" t="n">
        <f aca="false">D56*Escalation!$B$20*Settings!$B$4*Settings!$B$9</f>
        <v>2203925.75572616</v>
      </c>
      <c r="G56" s="35" t="n">
        <f aca="false">AVERAGE(E56:F56)</f>
        <v>1837129.54066602</v>
      </c>
    </row>
    <row r="57" customFormat="false" ht="15" hidden="false" customHeight="false" outlineLevel="0" collapsed="false">
      <c r="A57" s="17" t="s">
        <v>1337</v>
      </c>
      <c r="B57" s="18"/>
      <c r="C57" s="18"/>
      <c r="D57" s="18"/>
      <c r="E57" s="18"/>
      <c r="F57" s="18"/>
      <c r="G57" s="18"/>
    </row>
    <row r="58" customFormat="false" ht="15" hidden="false" customHeight="false" outlineLevel="0" collapsed="false">
      <c r="A58" s="5" t="s">
        <v>1338</v>
      </c>
      <c r="B58" s="5" t="s">
        <v>108</v>
      </c>
      <c r="C58" s="33" t="n">
        <v>950</v>
      </c>
      <c r="D58" s="33" t="n">
        <v>1600</v>
      </c>
      <c r="E58" s="34" t="n">
        <f aca="false">C58*Escalation!$B$20*Settings!$B$4*Settings!$B$9</f>
        <v>997.014032352312</v>
      </c>
      <c r="F58" s="34" t="n">
        <f aca="false">D58*Escalation!$B$20*Settings!$B$4*Settings!$B$9</f>
        <v>1679.18152817231</v>
      </c>
      <c r="G58" s="35" t="n">
        <f aca="false">AVERAGE(E58:F58)</f>
        <v>1338.09778026231</v>
      </c>
    </row>
    <row r="59" customFormat="false" ht="15" hidden="false" customHeight="false" outlineLevel="0" collapsed="false">
      <c r="A59" s="5" t="s">
        <v>1339</v>
      </c>
      <c r="B59" s="5" t="s">
        <v>108</v>
      </c>
      <c r="C59" s="33" t="n">
        <v>1100</v>
      </c>
      <c r="D59" s="33" t="n">
        <v>1600</v>
      </c>
      <c r="E59" s="34" t="n">
        <f aca="false">C59*Escalation!$B$20*Settings!$B$4*Settings!$B$9</f>
        <v>1154.43730061847</v>
      </c>
      <c r="F59" s="34" t="n">
        <f aca="false">D59*Escalation!$B$20*Settings!$B$4*Settings!$B$9</f>
        <v>1679.18152817231</v>
      </c>
      <c r="G59" s="35" t="n">
        <f aca="false">AVERAGE(E59:F59)</f>
        <v>1416.80941439539</v>
      </c>
    </row>
    <row r="60" customFormat="false" ht="15" hidden="false" customHeight="false" outlineLevel="0" collapsed="false">
      <c r="A60" s="5" t="s">
        <v>1340</v>
      </c>
      <c r="B60" s="5" t="s">
        <v>108</v>
      </c>
      <c r="C60" s="33" t="n">
        <v>450</v>
      </c>
      <c r="D60" s="33" t="n">
        <v>750</v>
      </c>
      <c r="E60" s="34" t="n">
        <f aca="false">C60*Escalation!$B$20*Settings!$B$4*Settings!$B$9</f>
        <v>472.269804798463</v>
      </c>
      <c r="F60" s="34" t="n">
        <f aca="false">D60*Escalation!$B$20*Settings!$B$4*Settings!$B$9</f>
        <v>787.116341330772</v>
      </c>
      <c r="G60" s="35" t="n">
        <f aca="false">AVERAGE(E60:F60)</f>
        <v>629.693073064618</v>
      </c>
    </row>
    <row r="61" customFormat="false" ht="15" hidden="false" customHeight="false" outlineLevel="0" collapsed="false">
      <c r="A61" s="5" t="s">
        <v>1341</v>
      </c>
      <c r="B61" s="5" t="s">
        <v>108</v>
      </c>
      <c r="C61" s="33" t="n">
        <v>1350</v>
      </c>
      <c r="D61" s="33" t="n">
        <v>2100</v>
      </c>
      <c r="E61" s="34" t="n">
        <f aca="false">C61*Escalation!$B$20*Settings!$B$4*Settings!$B$9</f>
        <v>1416.80941439539</v>
      </c>
      <c r="F61" s="34" t="n">
        <f aca="false">D61*Escalation!$B$20*Settings!$B$4*Settings!$B$9</f>
        <v>2203.92575572616</v>
      </c>
      <c r="G61" s="35" t="n">
        <f aca="false">AVERAGE(E61:F61)</f>
        <v>1810.36758506078</v>
      </c>
    </row>
    <row r="62" customFormat="false" ht="15" hidden="false" customHeight="false" outlineLevel="0" collapsed="false">
      <c r="A62" s="5" t="s">
        <v>1342</v>
      </c>
      <c r="B62" s="5" t="s">
        <v>108</v>
      </c>
      <c r="C62" s="33" t="n">
        <v>1350</v>
      </c>
      <c r="D62" s="33" t="n">
        <v>2150</v>
      </c>
      <c r="E62" s="34" t="n">
        <f aca="false">C62*Escalation!$B$20*Settings!$B$4*Settings!$B$9</f>
        <v>1416.80941439539</v>
      </c>
      <c r="F62" s="34" t="n">
        <f aca="false">D62*Escalation!$B$20*Settings!$B$4*Settings!$B$9</f>
        <v>2256.40017848155</v>
      </c>
      <c r="G62" s="35" t="n">
        <f aca="false">AVERAGE(E62:F62)</f>
        <v>1836.60479643847</v>
      </c>
    </row>
    <row r="63" customFormat="false" ht="15" hidden="false" customHeight="false" outlineLevel="0" collapsed="false">
      <c r="A63" s="5" t="s">
        <v>1343</v>
      </c>
      <c r="B63" s="5" t="s">
        <v>108</v>
      </c>
      <c r="C63" s="33" t="n">
        <v>450</v>
      </c>
      <c r="D63" s="33" t="n">
        <v>600</v>
      </c>
      <c r="E63" s="34" t="n">
        <f aca="false">C63*Escalation!$B$20*Settings!$B$4*Settings!$B$9</f>
        <v>472.269804798463</v>
      </c>
      <c r="F63" s="34" t="n">
        <f aca="false">D63*Escalation!$B$20*Settings!$B$4*Settings!$B$9</f>
        <v>629.693073064618</v>
      </c>
      <c r="G63" s="35" t="n">
        <f aca="false">AVERAGE(E63:F63)</f>
        <v>550.981438931541</v>
      </c>
    </row>
    <row r="65" customFormat="false" ht="15" hidden="false" customHeight="false" outlineLevel="0" collapsed="false">
      <c r="A65" s="29" t="s">
        <v>1344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4" t="s">
        <v>1345</v>
      </c>
    </row>
    <row r="2" customFormat="false" ht="15" hidden="false" customHeight="false" outlineLevel="0" collapsed="false">
      <c r="A2" s="29" t="s">
        <v>1346</v>
      </c>
    </row>
    <row r="4" customFormat="false" ht="15" hidden="false" customHeight="false" outlineLevel="0" collapsed="false">
      <c r="A4" s="16" t="s">
        <v>1347</v>
      </c>
      <c r="B4" s="16" t="s">
        <v>1348</v>
      </c>
      <c r="C4" s="16" t="s">
        <v>1349</v>
      </c>
      <c r="D4" s="16" t="s">
        <v>1350</v>
      </c>
      <c r="E4" s="16" t="s">
        <v>1351</v>
      </c>
      <c r="F4" s="16" t="s">
        <v>1352</v>
      </c>
    </row>
    <row r="5" customFormat="false" ht="15" hidden="false" customHeight="false" outlineLevel="0" collapsed="false">
      <c r="A5" s="36" t="s">
        <v>1353</v>
      </c>
      <c r="B5" s="36" t="n">
        <v>100</v>
      </c>
      <c r="C5" s="37"/>
      <c r="D5" s="36" t="n">
        <v>100</v>
      </c>
      <c r="E5" s="37"/>
      <c r="F5" s="36" t="n">
        <v>1</v>
      </c>
    </row>
    <row r="6" customFormat="false" ht="15" hidden="false" customHeight="false" outlineLevel="0" collapsed="false">
      <c r="A6" s="36" t="s">
        <v>1354</v>
      </c>
      <c r="B6" s="36" t="n">
        <v>102.4</v>
      </c>
      <c r="C6" s="37" t="n">
        <v>0.024</v>
      </c>
      <c r="D6" s="36" t="n">
        <v>106</v>
      </c>
      <c r="E6" s="37" t="n">
        <v>0.06</v>
      </c>
      <c r="F6" s="36" t="n">
        <v>0.97</v>
      </c>
    </row>
    <row r="7" customFormat="false" ht="15" hidden="false" customHeight="false" outlineLevel="0" collapsed="false">
      <c r="A7" s="36" t="s">
        <v>1355</v>
      </c>
      <c r="B7" s="36" t="n">
        <v>108.1</v>
      </c>
      <c r="C7" s="37" t="n">
        <v>0.056</v>
      </c>
      <c r="D7" s="36" t="n">
        <v>120.9</v>
      </c>
      <c r="E7" s="37" t="n">
        <v>0.141</v>
      </c>
      <c r="F7" s="36" t="n">
        <v>0.89</v>
      </c>
    </row>
    <row r="8" customFormat="false" ht="15" hidden="false" customHeight="false" outlineLevel="0" collapsed="false">
      <c r="A8" s="36" t="s">
        <v>1356</v>
      </c>
      <c r="B8" s="36" t="n">
        <v>119.1</v>
      </c>
      <c r="C8" s="37" t="n">
        <v>0.101</v>
      </c>
      <c r="D8" s="36" t="n">
        <v>128.4</v>
      </c>
      <c r="E8" s="37" t="n">
        <v>0.062</v>
      </c>
      <c r="F8" s="36" t="n">
        <v>0.93</v>
      </c>
    </row>
    <row r="9" customFormat="false" ht="15" hidden="false" customHeight="false" outlineLevel="0" collapsed="false">
      <c r="A9" s="36" t="s">
        <v>1357</v>
      </c>
      <c r="B9" s="36" t="n">
        <v>136.7</v>
      </c>
      <c r="C9" s="37" t="n">
        <v>0.148</v>
      </c>
      <c r="D9" s="36" t="n">
        <v>135.1</v>
      </c>
      <c r="E9" s="37" t="n">
        <v>0.052</v>
      </c>
      <c r="F9" s="36" t="n">
        <v>1.01</v>
      </c>
    </row>
    <row r="10" customFormat="false" ht="15" hidden="false" customHeight="false" outlineLevel="0" collapsed="false">
      <c r="A10" s="36" t="s">
        <v>1358</v>
      </c>
      <c r="B10" s="36" t="n">
        <v>145.7</v>
      </c>
      <c r="C10" s="37" t="n">
        <v>0.066</v>
      </c>
      <c r="D10" s="36" t="n">
        <v>137.8</v>
      </c>
      <c r="E10" s="37" t="n">
        <v>0.02</v>
      </c>
      <c r="F10" s="36" t="n">
        <v>1.06</v>
      </c>
    </row>
    <row r="11" customFormat="false" ht="15" hidden="false" customHeight="false" outlineLevel="0" collapsed="false">
      <c r="A11" s="36" t="s">
        <v>1359</v>
      </c>
      <c r="B11" s="36" t="n">
        <v>150.9</v>
      </c>
      <c r="C11" s="37" t="n">
        <v>0.036</v>
      </c>
      <c r="D11" s="36" t="n">
        <v>144</v>
      </c>
      <c r="E11" s="37" t="n">
        <v>0.045</v>
      </c>
      <c r="F11" s="36" t="n">
        <v>1.05</v>
      </c>
    </row>
    <row r="12" customFormat="false" ht="15" hidden="false" customHeight="false" outlineLevel="0" collapsed="false">
      <c r="A12" s="36" t="s">
        <v>1360</v>
      </c>
      <c r="B12" s="36" t="n">
        <v>158</v>
      </c>
      <c r="C12" s="37" t="n">
        <v>0.047</v>
      </c>
      <c r="D12" s="36" t="n">
        <v>150.7</v>
      </c>
      <c r="E12" s="37" t="n">
        <v>0.046</v>
      </c>
      <c r="F12" s="36" t="n">
        <v>1.05</v>
      </c>
    </row>
    <row r="13" customFormat="false" ht="15" hidden="false" customHeight="false" outlineLevel="0" collapsed="false">
      <c r="A13" s="36" t="s">
        <v>1361</v>
      </c>
      <c r="B13" s="36" t="n">
        <v>166.9</v>
      </c>
      <c r="C13" s="37" t="n">
        <v>0.056</v>
      </c>
      <c r="D13" s="36" t="n">
        <v>157.3</v>
      </c>
      <c r="E13" s="37" t="n">
        <v>0.044</v>
      </c>
      <c r="F13" s="36" t="n">
        <v>1.06</v>
      </c>
    </row>
    <row r="14" customFormat="false" ht="15" hidden="false" customHeight="false" outlineLevel="0" collapsed="false">
      <c r="A14" s="36" t="s">
        <v>1362</v>
      </c>
      <c r="B14" s="36" t="n">
        <v>176.7</v>
      </c>
      <c r="C14" s="37" t="n">
        <v>0.059</v>
      </c>
      <c r="D14" s="36" t="n">
        <v>164.2</v>
      </c>
      <c r="E14" s="37" t="n">
        <v>0.044</v>
      </c>
      <c r="F14" s="36" t="n">
        <v>1.08</v>
      </c>
    </row>
    <row r="17" customFormat="false" ht="15" hidden="false" customHeight="false" outlineLevel="0" collapsed="false">
      <c r="A17" s="13" t="s">
        <v>1363</v>
      </c>
    </row>
    <row r="18" customFormat="false" ht="15" hidden="false" customHeight="false" outlineLevel="0" collapsed="false">
      <c r="A18" s="0" t="s">
        <v>1364</v>
      </c>
      <c r="B18" s="38" t="n">
        <f aca="false">(1+C11)^(6/12)</f>
        <v>1.01784085199996</v>
      </c>
    </row>
    <row r="19" customFormat="false" ht="15" hidden="false" customHeight="false" outlineLevel="0" collapsed="false">
      <c r="A19" s="0" t="s">
        <v>1365</v>
      </c>
      <c r="B19" s="38" t="n">
        <f aca="false">(1+C12)^(8/12)</f>
        <v>1.03109287964376</v>
      </c>
    </row>
    <row r="20" customFormat="false" ht="15" hidden="false" customHeight="false" outlineLevel="0" collapsed="false">
      <c r="A20" s="13" t="s">
        <v>1366</v>
      </c>
      <c r="B20" s="39" t="n">
        <f aca="false">B18*B19</f>
        <v>1.0494884551077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3"/>
    <col collapsed="false" customWidth="true" hidden="false" outlineLevel="0" max="7" min="7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4" t="s">
        <v>1367</v>
      </c>
    </row>
    <row r="2" customFormat="false" ht="15" hidden="false" customHeight="false" outlineLevel="0" collapsed="false">
      <c r="A2" s="29" t="s">
        <v>1368</v>
      </c>
    </row>
    <row r="4" customFormat="false" ht="15" hidden="false" customHeight="false" outlineLevel="0" collapsed="false">
      <c r="A4" s="16" t="s">
        <v>51</v>
      </c>
      <c r="B4" s="16" t="s">
        <v>1369</v>
      </c>
      <c r="C4" s="16" t="s">
        <v>1370</v>
      </c>
      <c r="D4" s="16" t="s">
        <v>1371</v>
      </c>
      <c r="E4" s="16" t="s">
        <v>1372</v>
      </c>
      <c r="F4" s="16" t="s">
        <v>1373</v>
      </c>
      <c r="G4" s="16" t="s">
        <v>1374</v>
      </c>
      <c r="H4" s="16" t="s">
        <v>1150</v>
      </c>
    </row>
    <row r="5" customFormat="false" ht="15" hidden="false" customHeight="false" outlineLevel="0" collapsed="false">
      <c r="A5" s="5" t="s">
        <v>289</v>
      </c>
      <c r="B5" s="5" t="s">
        <v>1375</v>
      </c>
      <c r="C5" s="5" t="s">
        <v>1376</v>
      </c>
      <c r="D5" s="33" t="n">
        <v>150</v>
      </c>
      <c r="E5" s="33" t="n">
        <v>270</v>
      </c>
      <c r="F5" s="40" t="n">
        <f aca="false">INDEX(Rates!$F:$F,MATCH(A5,Rates!$A:$A,0))*Settings!$B$4*Settings!$B$9*(1+Settings!$B$10)</f>
        <v>165.2111136</v>
      </c>
      <c r="G5" s="5" t="str">
        <f aca="false">IF(F5&lt;D5,"Below range",IF(F5&gt;E5,"Above range","In range"))</f>
        <v>In range</v>
      </c>
      <c r="H5" s="26" t="s">
        <v>1377</v>
      </c>
    </row>
    <row r="6" customFormat="false" ht="15" hidden="false" customHeight="false" outlineLevel="0" collapsed="false">
      <c r="A6" s="5" t="s">
        <v>293</v>
      </c>
      <c r="B6" s="5" t="s">
        <v>1378</v>
      </c>
      <c r="C6" s="5" t="s">
        <v>1376</v>
      </c>
      <c r="D6" s="33" t="n">
        <v>300</v>
      </c>
      <c r="E6" s="33" t="n">
        <v>510</v>
      </c>
      <c r="F6" s="40" t="n">
        <f aca="false">INDEX(Rates!$F:$F,MATCH(A6,Rates!$A:$A,0))*Settings!$B$4*Settings!$B$9*(1+Settings!$B$10)</f>
        <v>310.9856256</v>
      </c>
      <c r="G6" s="5" t="str">
        <f aca="false">IF(F6&lt;D6,"Below range",IF(F6&gt;E6,"Above range","In range"))</f>
        <v>In range</v>
      </c>
      <c r="H6" s="26" t="s">
        <v>1379</v>
      </c>
    </row>
    <row r="7" customFormat="false" ht="15" hidden="false" customHeight="false" outlineLevel="0" collapsed="false">
      <c r="A7" s="5" t="s">
        <v>577</v>
      </c>
      <c r="B7" s="5" t="s">
        <v>1380</v>
      </c>
      <c r="C7" s="5" t="s">
        <v>1376</v>
      </c>
      <c r="D7" s="33" t="n">
        <v>110</v>
      </c>
      <c r="E7" s="33" t="n">
        <v>200</v>
      </c>
      <c r="F7" s="40" t="n">
        <f aca="false">INDEX(Rates!$F:$F,MATCH(A7,Rates!$A:$A,0))*Settings!$B$4*Settings!$B$9*(1+Settings!$B$10)</f>
        <v>130.6377774</v>
      </c>
      <c r="G7" s="5" t="str">
        <f aca="false">IF(F7&lt;D7,"Below range",IF(F7&gt;E7,"Above range","In range"))</f>
        <v>In range</v>
      </c>
      <c r="H7" s="26" t="s">
        <v>1381</v>
      </c>
    </row>
    <row r="8" customFormat="false" ht="15" hidden="false" customHeight="false" outlineLevel="0" collapsed="false">
      <c r="A8" s="5" t="s">
        <v>585</v>
      </c>
      <c r="B8" s="5" t="s">
        <v>1382</v>
      </c>
      <c r="C8" s="5" t="s">
        <v>1376</v>
      </c>
      <c r="D8" s="33" t="n">
        <v>140</v>
      </c>
      <c r="E8" s="33" t="n">
        <v>240</v>
      </c>
      <c r="F8" s="40" t="n">
        <f aca="false">INDEX(Rates!$F:$F,MATCH(A8,Rates!$A:$A,0))*Settings!$B$4*Settings!$B$9*(1+Settings!$B$10)</f>
        <v>163.29722175</v>
      </c>
      <c r="G8" s="5" t="str">
        <f aca="false">IF(F8&lt;D8,"Below range",IF(F8&gt;E8,"Above range","In range"))</f>
        <v>In range</v>
      </c>
      <c r="H8" s="26" t="s">
        <v>1379</v>
      </c>
    </row>
    <row r="9" customFormat="false" ht="15" hidden="false" customHeight="false" outlineLevel="0" collapsed="false">
      <c r="A9" s="5" t="s">
        <v>603</v>
      </c>
      <c r="B9" s="5" t="s">
        <v>1383</v>
      </c>
      <c r="C9" s="5" t="s">
        <v>1376</v>
      </c>
      <c r="D9" s="33" t="n">
        <v>85</v>
      </c>
      <c r="E9" s="33" t="n">
        <v>130</v>
      </c>
      <c r="F9" s="40" t="n">
        <f aca="false">INDEX(Rates!$F:$F,MATCH(A9,Rates!$A:$A,0))*Settings!$B$4*Settings!$B$9*(1+Settings!$B$10)</f>
        <v>87.4647072</v>
      </c>
      <c r="G9" s="5" t="str">
        <f aca="false">IF(F9&lt;D9,"Below range",IF(F9&gt;E9,"Above range","In range"))</f>
        <v>In range</v>
      </c>
      <c r="H9" s="26" t="s">
        <v>1384</v>
      </c>
    </row>
    <row r="10" customFormat="false" ht="15" hidden="false" customHeight="false" outlineLevel="0" collapsed="false">
      <c r="A10" s="5" t="s">
        <v>603</v>
      </c>
      <c r="B10" s="5" t="s">
        <v>1383</v>
      </c>
      <c r="C10" s="5" t="s">
        <v>1385</v>
      </c>
      <c r="D10" s="33" t="n">
        <v>90</v>
      </c>
      <c r="E10" s="33" t="n">
        <v>160</v>
      </c>
      <c r="F10" s="40" t="n">
        <f aca="false">INDEX(Rates!$T:$T,MATCH(A10,Rates!$A:$A,0))</f>
        <v>111.5906922</v>
      </c>
      <c r="G10" s="5" t="str">
        <f aca="false">IF(F10&lt;D10,"Below range",IF(F10&gt;E10,"Above range","In range"))</f>
        <v>In range</v>
      </c>
      <c r="H10" s="26" t="s">
        <v>1386</v>
      </c>
    </row>
    <row r="11" customFormat="false" ht="15" hidden="false" customHeight="false" outlineLevel="0" collapsed="false">
      <c r="A11" s="5" t="s">
        <v>804</v>
      </c>
      <c r="B11" s="5" t="s">
        <v>1387</v>
      </c>
      <c r="C11" s="5" t="s">
        <v>1376</v>
      </c>
      <c r="D11" s="33" t="n">
        <v>25</v>
      </c>
      <c r="E11" s="33" t="n">
        <v>60</v>
      </c>
      <c r="F11" s="40" t="n">
        <f aca="false">INDEX(Rates!$F:$F,MATCH(A11,Rates!$A:$A,0))*Settings!$B$4*Settings!$B$9*(1+Settings!$B$10)</f>
        <v>29.1007782</v>
      </c>
      <c r="G11" s="5" t="str">
        <f aca="false">IF(F11&lt;D11,"Below range",IF(F11&gt;E11,"Above range","In range"))</f>
        <v>In range</v>
      </c>
      <c r="H11" s="26" t="s">
        <v>1388</v>
      </c>
    </row>
    <row r="12" customFormat="false" ht="15" hidden="false" customHeight="false" outlineLevel="0" collapsed="false">
      <c r="A12" s="5" t="s">
        <v>362</v>
      </c>
      <c r="B12" s="5" t="s">
        <v>1389</v>
      </c>
      <c r="C12" s="5" t="s">
        <v>1385</v>
      </c>
      <c r="D12" s="33" t="n">
        <v>250</v>
      </c>
      <c r="E12" s="33" t="n">
        <v>650</v>
      </c>
      <c r="F12" s="40" t="n">
        <f aca="false">INDEX(Rates!$T:$T,MATCH(A12,Rates!$A:$A,0))</f>
        <v>522.6241644</v>
      </c>
      <c r="G12" s="5" t="str">
        <f aca="false">IF(F12&lt;D12,"Below range",IF(F12&gt;E12,"Above range","In range"))</f>
        <v>In range</v>
      </c>
      <c r="H12" s="26" t="s">
        <v>1390</v>
      </c>
    </row>
    <row r="13" customFormat="false" ht="15" hidden="false" customHeight="false" outlineLevel="0" collapsed="false">
      <c r="A13" s="5" t="s">
        <v>371</v>
      </c>
      <c r="B13" s="5" t="s">
        <v>1391</v>
      </c>
      <c r="C13" s="5" t="s">
        <v>1385</v>
      </c>
      <c r="D13" s="33" t="n">
        <v>500</v>
      </c>
      <c r="E13" s="33" t="n">
        <v>800</v>
      </c>
      <c r="F13" s="40" t="n">
        <f aca="false">INDEX(Rates!$T:$T,MATCH(A13,Rates!$A:$A,0))</f>
        <v>445.7259144</v>
      </c>
      <c r="G13" s="5" t="str">
        <f aca="false">IF(F13&lt;D13,"Below range",IF(F13&gt;E13,"Above range","In range"))</f>
        <v>Below range</v>
      </c>
      <c r="H13" s="26" t="s">
        <v>1392</v>
      </c>
    </row>
    <row r="14" customFormat="false" ht="15" hidden="false" customHeight="false" outlineLevel="0" collapsed="false">
      <c r="A14" s="5" t="s">
        <v>380</v>
      </c>
      <c r="B14" s="5" t="s">
        <v>1393</v>
      </c>
      <c r="C14" s="5" t="s">
        <v>1385</v>
      </c>
      <c r="D14" s="33" t="n">
        <v>150</v>
      </c>
      <c r="E14" s="33" t="n">
        <v>350</v>
      </c>
      <c r="F14" s="40" t="n">
        <f aca="false">INDEX(Rates!$T:$T,MATCH(A14,Rates!$A:$A,0))</f>
        <v>313.9548048</v>
      </c>
      <c r="G14" s="5" t="str">
        <f aca="false">IF(F14&lt;D14,"Below range",IF(F14&gt;E14,"Above range","In range"))</f>
        <v>In range</v>
      </c>
      <c r="H14" s="26" t="s">
        <v>1394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4" t="s">
        <v>1395</v>
      </c>
    </row>
    <row r="3" customFormat="false" ht="15" hidden="false" customHeight="false" outlineLevel="0" collapsed="false">
      <c r="A3" s="5" t="s">
        <v>1396</v>
      </c>
      <c r="B3" s="41" t="s">
        <v>1397</v>
      </c>
    </row>
    <row r="4" customFormat="false" ht="15" hidden="false" customHeight="false" outlineLevel="0" collapsed="false">
      <c r="A4" s="5" t="s">
        <v>1398</v>
      </c>
      <c r="B4" s="41" t="s">
        <v>1399</v>
      </c>
    </row>
    <row r="5" customFormat="false" ht="15" hidden="false" customHeight="false" outlineLevel="0" collapsed="false">
      <c r="A5" s="5" t="s">
        <v>1400</v>
      </c>
      <c r="B5" s="41" t="s">
        <v>1401</v>
      </c>
    </row>
    <row r="6" customFormat="false" ht="15" hidden="false" customHeight="false" outlineLevel="0" collapsed="false">
      <c r="A6" s="5" t="s">
        <v>1402</v>
      </c>
      <c r="B6" s="41" t="s">
        <v>1403</v>
      </c>
    </row>
    <row r="7" customFormat="false" ht="15" hidden="false" customHeight="false" outlineLevel="0" collapsed="false">
      <c r="A7" s="5" t="s">
        <v>1404</v>
      </c>
      <c r="B7" s="41" t="s">
        <v>1405</v>
      </c>
    </row>
    <row r="8" customFormat="false" ht="15" hidden="false" customHeight="false" outlineLevel="0" collapsed="false">
      <c r="A8" s="5" t="s">
        <v>1406</v>
      </c>
      <c r="B8" s="41" t="s">
        <v>1407</v>
      </c>
    </row>
    <row r="9" customFormat="false" ht="15" hidden="false" customHeight="false" outlineLevel="0" collapsed="false">
      <c r="A9" s="5" t="s">
        <v>1408</v>
      </c>
      <c r="B9" s="41" t="s">
        <v>1409</v>
      </c>
    </row>
    <row r="10" customFormat="false" ht="15" hidden="false" customHeight="false" outlineLevel="0" collapsed="false">
      <c r="A10" s="5" t="s">
        <v>1410</v>
      </c>
      <c r="B10" s="41" t="s">
        <v>1411</v>
      </c>
    </row>
    <row r="11" customFormat="false" ht="15" hidden="false" customHeight="false" outlineLevel="0" collapsed="false">
      <c r="A11" s="5" t="s">
        <v>1412</v>
      </c>
      <c r="B11" s="41" t="s">
        <v>1413</v>
      </c>
    </row>
    <row r="12" customFormat="false" ht="15" hidden="false" customHeight="false" outlineLevel="0" collapsed="false">
      <c r="A12" s="5" t="s">
        <v>1414</v>
      </c>
      <c r="B12" s="41" t="s">
        <v>1415</v>
      </c>
    </row>
    <row r="13" customFormat="false" ht="15" hidden="false" customHeight="false" outlineLevel="0" collapsed="false">
      <c r="A13" s="5" t="s">
        <v>1416</v>
      </c>
      <c r="B13" s="41" t="s">
        <v>1417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2026-09-23T09:57:30Z</dcterms:created>
  <dc:creator>SA Rates Library</dc:creator>
  <dc:description/>
  <dc:language>en-US</dc:language>
  <cp:lastModifiedBy/>
  <dcterms:modified xsi:type="dcterms:W3CDTF">2026-09-23T09:57:30Z</dcterms:modified>
  <cp:revision>0</cp:revision>
  <dc:subject/>
  <dc:title>South Africa Rates Library SA-RL-2609-01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